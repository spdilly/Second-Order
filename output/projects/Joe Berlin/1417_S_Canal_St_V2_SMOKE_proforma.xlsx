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dit" sheetId="5" state="visible" r:id="rId5"/>
  </sheets>
  <definedNames>
    <definedName name="address">'Inputs'!$C$7:$C$7</definedName>
    <definedName name="zip">'Inputs'!$C$8:$C$8</definedName>
    <definedName name="beds">'Inputs'!$C$9:$C$9</definedName>
    <definedName name="baths">'Inputs'!$C$10:$C$10</definedName>
    <definedName name="beds_source">'Inputs'!$C$11:$C$11</definedName>
    <definedName name="purchase_price">'Inputs'!$C$14:$C$14</definedName>
    <definedName name="purchase_price_source">'Inputs'!$C$15:$C$15</definedName>
    <definedName name="arv">'Inputs'!$C$16:$C$16</definedName>
    <definedName name="arv_source">'Inputs'!$C$17:$C$17</definedName>
    <definedName name="rehab_cost">'Inputs'!$C$18:$C$18</definedName>
    <definedName name="closing_cost_pct">'Inputs'!$C$19:$C$19</definedName>
    <definedName name="holding_months">'Inputs'!$C$20:$C$20</definedName>
    <definedName name="wholesaler_fee">'Inputs'!$C$23:$C$23</definedName>
    <definedName name="inspection_fee">'Inputs'!$C$24:$C$24</definedName>
    <definedName name="appraisal_fee">'Inputs'!$C$25:$C$25</definedName>
    <definedName name="holding_utilities_monthly">'Inputs'!$C$26:$C$26</definedName>
    <definedName name="down_payment_pct">'Inputs'!$C$29:$C$29</definedName>
    <definedName name="interest_rate">'Inputs'!$C$30:$C$30</definedName>
    <definedName name="loan_term_yrs">'Inputs'!$C$31:$C$31</definedName>
    <definedName name="refi_year">'Inputs'!$C$34:$C$34</definedName>
    <definedName name="refi_ltv">'Inputs'!$C$35:$C$35</definedName>
    <definedName name="refi_interest_rate">'Inputs'!$C$36:$C$36</definedName>
    <definedName name="refi_term_yrs">'Inputs'!$C$37:$C$37</definedName>
    <definedName name="refi_closing_cost_pct">'Inputs'!$C$38:$C$38</definedName>
    <definedName name="monthly_rent">'Inputs'!$C$41:$C$41</definedName>
    <definedName name="monthly_rent_source">'Inputs'!$C$42:$C$42</definedName>
    <definedName name="market_rent">'Inputs'!$C$43:$C$43</definedName>
    <definedName name="market_rent_source">'Inputs'!$C$44:$C$44</definedName>
    <definedName name="rent_growth">'Inputs'!$C$45:$C$45</definedName>
    <definedName name="vacancy_rate">'Inputs'!$C$46:$C$46</definedName>
    <definedName name="management_pct">'Inputs'!$C$49:$C$49</definedName>
    <definedName name="maintenance_pct">'Inputs'!$C$50:$C$50</definedName>
    <definedName name="capex_reserve_pct">'Inputs'!$C$51:$C$51</definedName>
    <definedName name="property_tax_annual">'Inputs'!$C$54:$C$54</definedName>
    <definedName name="property_tax_source">'Inputs'!$C$55:$C$55</definedName>
    <definedName name="insurance_annual">'Inputs'!$C$56:$C$56</definedName>
    <definedName name="insurance_source">'Inputs'!$C$57:$C$57</definedName>
    <definedName name="utilities_annual">'Inputs'!$C$58:$C$58</definedName>
    <definedName name="hoa_annual">'Inputs'!$C$59:$C$59</definedName>
    <definedName name="expense_growth">'Inputs'!$C$60:$C$60</definedName>
    <definedName name="hold_period_yrs">'Inputs'!$C$63:$C$63</definedName>
    <definedName name="exit_cap_rate">'Inputs'!$C$64:$C$64</definedName>
    <definedName name="cost_of_sale_pct">'Inputs'!$C$65:$C$65</definedName>
    <definedName name="appreciation_rate">'Inputs'!$C$66:$C$66</definedName>
    <definedName name="gp_lp_split_lp">'Inputs'!$C$69:$C$69</definedName>
    <definedName name="cap_rate_min">'Inputs'!$C$72:$C$72</definedName>
    <definedName name="cash_on_cash_min">'Inputs'!$C$73:$C$73</definedName>
    <definedName name="dscr_min">'Inputs'!$C$74:$C$74</definedName>
    <definedName name="irr_min">'Inputs'!$C$75:$C$75</definedName>
    <definedName name="max_price_to_arv">'Inputs'!$C$76:$C$76</definedName>
    <definedName name="cf_year_header_row">'Cashflow'!$C$4:$C$4</definedName>
    <definedName name="_xlnm.Print_Titles" localSheetId="0">'Summary'!$1:$4</definedName>
    <definedName name="_xlnm.Print_Titles" localSheetId="1">'Inputs'!$1:$4</definedName>
    <definedName name="_xlnm.Print_Titles" localSheetId="2">'Cashflow'!$1:$4</definedName>
    <definedName name="_xlnm.Print_Titles" localSheetId="3">'Sources'!$1:$4</definedName>
    <definedName name="_xlnm.Print_Titles" localSheetId="4">'Audit'!$1:$4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x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name val="Aptos"/>
      <b val="1"/>
      <color rgb="00000000"/>
      <sz val="14"/>
    </font>
    <font>
      <name val="Aptos"/>
      <i val="1"/>
      <color rgb="00808080"/>
      <sz val="10"/>
    </font>
    <font>
      <name val="Aptos"/>
      <b val="1"/>
      <color rgb="00000000"/>
      <sz val="10"/>
    </font>
    <font>
      <name val="Aptos"/>
      <color rgb="00000000"/>
      <sz val="10"/>
    </font>
    <font>
      <name val="Aptos"/>
      <color rgb="000070C0"/>
      <sz val="10"/>
    </font>
    <font>
      <name val="Aptos"/>
      <i val="1"/>
      <color rgb="00808080"/>
      <sz val="8"/>
    </font>
    <font>
      <name val="Aptos"/>
      <color rgb="00808080"/>
      <sz val="9"/>
    </font>
    <font>
      <name val="Aptos"/>
      <b val="1"/>
      <color rgb="00000000"/>
      <sz val="18"/>
    </font>
    <font>
      <name val="Aptos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bottom style="medium">
        <color rgb="00000000"/>
      </bottom>
    </border>
    <border/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0" applyAlignment="1" pivotButton="0" quotePrefix="0" xfId="0">
      <alignment horizontal="center" vertical="top"/>
    </xf>
    <xf numFmtId="1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3" fillId="0" borderId="3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 hidden="0"/>
  </cellStyles>
  <dxfs count="3">
    <dxf>
      <font>
        <name val="Aptos"/>
        <b val="1"/>
        <color rgb="00276749"/>
        <sz val="10"/>
      </font>
      <fill>
        <patternFill patternType="solid">
          <fgColor rgb="00C6F6D5"/>
          <bgColor rgb="00C6F6D5"/>
        </patternFill>
      </fill>
    </dxf>
    <dxf>
      <font>
        <name val="Aptos"/>
        <b val="1"/>
        <color rgb="00C53030"/>
        <sz val="10"/>
      </font>
      <fill>
        <patternFill patternType="solid">
          <fgColor rgb="00FED7D7"/>
          <bgColor rgb="00FED7D7"/>
        </patternFill>
      </fill>
    </dxf>
    <dxf>
      <font>
        <name val="Aptos"/>
        <b val="1"/>
        <color rgb="00C05621"/>
        <sz val="10"/>
      </font>
      <fill>
        <patternFill patternType="solid">
          <fgColor rgb="00FEFCBF"/>
          <bgColor rgb="00FEFC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B1:H88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  <col width="32" customWidth="1" min="6" max="6"/>
    <col width="16" customWidth="1" min="7" max="7"/>
    <col width="14" customWidth="1" min="8" max="8"/>
  </cols>
  <sheetData>
    <row r="1">
      <c r="B1" s="1" t="inlineStr">
        <is>
          <t>Property Analysis — Summary</t>
        </is>
      </c>
    </row>
    <row r="3">
      <c r="B3" s="2" t="inlineStr">
        <is>
          <t>Address:</t>
        </is>
      </c>
      <c r="C3" s="3">
        <f>address</f>
        <v/>
      </c>
      <c r="F3" s="2" t="inlineStr">
        <is>
          <t>Beds / Baths:</t>
        </is>
      </c>
      <c r="G3" s="3">
        <f>beds &amp; " / " &amp; baths</f>
        <v/>
      </c>
    </row>
    <row r="4">
      <c r="B4" s="2" t="inlineStr">
        <is>
          <t>ZIP:</t>
        </is>
      </c>
      <c r="C4" s="4">
        <f>zip</f>
        <v/>
      </c>
      <c r="F4" s="2" t="inlineStr">
        <is>
          <t>Hold Period:</t>
        </is>
      </c>
      <c r="G4" s="4">
        <f>hold_period_yrs &amp; " years"</f>
        <v/>
      </c>
    </row>
    <row r="6">
      <c r="B6" s="5" t="inlineStr">
        <is>
          <t>Headline Metrics</t>
        </is>
      </c>
      <c r="C6" s="6" t="n"/>
      <c r="D6" s="6" t="n"/>
      <c r="E6" s="6" t="n"/>
      <c r="F6" s="6" t="n"/>
      <c r="G6" s="6" t="n"/>
      <c r="H6" s="6" t="n"/>
    </row>
    <row r="7">
      <c r="B7" s="7" t="inlineStr">
        <is>
          <t>Cap Rate (Y1)</t>
        </is>
      </c>
      <c r="D7" s="7" t="inlineStr">
        <is>
          <t>DSCR (Y1)</t>
        </is>
      </c>
      <c r="F7" s="7" t="inlineStr">
        <is>
          <t>Levered IRR</t>
        </is>
      </c>
      <c r="G7" s="7" t="inlineStr">
        <is>
          <t>Equity Multiple</t>
        </is>
      </c>
    </row>
    <row r="8">
      <c r="B8" s="8">
        <f>IFERROR('Cashflow'!D22/purchase_price,0)</f>
        <v/>
      </c>
      <c r="D8" s="44">
        <f>IFERROR('Cashflow'!D39,"n/a")</f>
        <v/>
      </c>
      <c r="F8" s="8">
        <f>IFERROR(IRR('Cashflow'!C38:'Cashflow'!R38),0)</f>
        <v/>
      </c>
      <c r="G8" s="44">
        <f>IFERROR(SUMIF('Cashflow'!C38:'Cashflow'!R38,"&gt;0")/-SUMIF('Cashflow'!C38:'Cashflow'!R38,"&lt;0"),0)</f>
        <v/>
      </c>
    </row>
    <row r="10">
      <c r="B10" s="10" t="inlineStr">
        <is>
          <t>VERDICT</t>
        </is>
      </c>
      <c r="C10" s="11">
        <f>IF((IF(IFERROR('Cashflow'!D22/purchase_price,0)&gt;=cap_rate_min,1,0)+IF(IFERROR(('Cashflow'!D22+'Cashflow'!D29)/(-'Cashflow'!C38),0)&gt;=cash_on_cash_min,1,0)+IF(IF(COUNT('Cashflow'!D39:'Cashflow'!R39)=0,9999,MIN('Cashflow'!D39:'Cashflow'!R39))&gt;=dscr_min,1,0)+IF(IFERROR(IRR('Cashflow'!C38:'Cashflow'!R38),0)&gt;=irr_min,1,0)+IF(IFERROR(purchase_price/arv,0)&lt;=max_price_to_arv,1,0))=5,"BUY",IF((IF(IFERROR('Cashflow'!D22/purchase_price,0)&gt;=cap_rate_min,1,0)+IF(IFERROR(('Cashflow'!D22+'Cashflow'!D29)/(-'Cashflow'!C38),0)&gt;=cash_on_cash_min,1,0)+IF(IF(COUNT('Cashflow'!D39:'Cashflow'!R39)=0,9999,MIN('Cashflow'!D39:'Cashflow'!R39))&gt;=dscr_min,1,0)+IF(IFERROR(IRR('Cashflow'!C38:'Cashflow'!R38),0)&gt;=irr_min,1,0)+IF(IFERROR(purchase_price/arv,0)&lt;=max_price_to_arv,1,0))&gt;=3,"CONSIDER","PASS"))</f>
        <v/>
      </c>
    </row>
    <row r="12">
      <c r="B12" s="3" t="inlineStr">
        <is>
          <t>ORIGINAL PURCHASE</t>
        </is>
      </c>
      <c r="F12" s="3" t="inlineStr">
        <is>
          <t>POST REFI</t>
        </is>
      </c>
    </row>
    <row r="14">
      <c r="B14" s="5" t="inlineStr">
        <is>
          <t>Acquisition Assumptions</t>
        </is>
      </c>
      <c r="F14" s="5" t="inlineStr">
        <is>
          <t>Acquisition Assumptions (Refi)</t>
        </is>
      </c>
    </row>
    <row r="15">
      <c r="B15" s="12" t="inlineStr">
        <is>
          <t>Purchase Price</t>
        </is>
      </c>
      <c r="C15" s="13">
        <f>purchase_price</f>
        <v/>
      </c>
      <c r="F15" s="12" t="inlineStr">
        <is>
          <t>Refi Price (= ARV)</t>
        </is>
      </c>
      <c r="G15" s="13">
        <f>arv</f>
        <v/>
      </c>
    </row>
    <row r="16">
      <c r="B16" s="12" t="inlineStr">
        <is>
          <t>Wholesaler Fee</t>
        </is>
      </c>
      <c r="C16" s="13">
        <f>wholesaler_fee</f>
        <v/>
      </c>
      <c r="F16" s="12" t="inlineStr">
        <is>
          <t>Refi LTV</t>
        </is>
      </c>
      <c r="G16" s="14">
        <f>refi_ltv</f>
        <v/>
      </c>
    </row>
    <row r="17">
      <c r="B17" s="12" t="inlineStr">
        <is>
          <t>Total Purchase Price</t>
        </is>
      </c>
      <c r="C17" s="13">
        <f>purchase_price+wholesaler_fee</f>
        <v/>
      </c>
      <c r="F17" s="12" t="inlineStr">
        <is>
          <t>Refi Loan Amount</t>
        </is>
      </c>
      <c r="G17" s="13">
        <f>arv*refi_ltv</f>
        <v/>
      </c>
    </row>
    <row r="18">
      <c r="B18" s="12" t="inlineStr">
        <is>
          <t>Rehab Cost</t>
        </is>
      </c>
      <c r="C18" s="13">
        <f>rehab_cost</f>
        <v/>
      </c>
      <c r="F18" s="12" t="inlineStr">
        <is>
          <t>Refi Closing Cost</t>
        </is>
      </c>
      <c r="G18" s="13">
        <f>arv*refi_ltv*refi_closing_cost_pct</f>
        <v/>
      </c>
    </row>
    <row r="19">
      <c r="B19" s="12" t="inlineStr">
        <is>
          <t>Closing Cost</t>
        </is>
      </c>
      <c r="C19" s="13">
        <f>purchase_price*closing_cost_pct</f>
        <v/>
      </c>
      <c r="F19" s="12" t="inlineStr">
        <is>
          <t>Mortgage Paid Off</t>
        </is>
      </c>
      <c r="G19" s="13">
        <f>IFERROR(ABS(FV(interest_rate/12,refi_year*12,-IFERROR(-PMT(interest_rate/12,loan_term_yrs*12,purchase_price*(1-down_payment_pct)),0),purchase_price*(1-down_payment_pct))),0)</f>
        <v/>
      </c>
    </row>
    <row r="20">
      <c r="B20" s="12" t="inlineStr">
        <is>
          <t>Holding Cost</t>
        </is>
      </c>
      <c r="C20" s="13">
        <f>(IFERROR(-PMT(interest_rate/12,loan_term_yrs*12,purchase_price*(1-down_payment_pct)),0)+property_tax_annual/12+insurance_annual/12+holding_utilities_monthly+utilities_annual/12)*holding_months</f>
        <v/>
      </c>
      <c r="F20" s="12" t="inlineStr">
        <is>
          <t>Refi Cash to Owner</t>
        </is>
      </c>
      <c r="G20" s="13">
        <f>arv*refi_ltv - IFERROR(ABS(FV(interest_rate/12,refi_year*12,-IFERROR(-PMT(interest_rate/12,loan_term_yrs*12,purchase_price*(1-down_payment_pct)),0),purchase_price*(1-down_payment_pct))),0) - (arv*refi_ltv*refi_closing_cost_pct)</f>
        <v/>
      </c>
    </row>
    <row r="21">
      <c r="B21" s="12" t="inlineStr">
        <is>
          <t>First-Year Insurance</t>
        </is>
      </c>
      <c r="C21" s="13">
        <f>insurance_annual</f>
        <v/>
      </c>
      <c r="F21" s="12" t="inlineStr">
        <is>
          <t>LP Capital Remaining</t>
        </is>
      </c>
      <c r="G21" s="13">
        <f>MAX(0,C24-G20)</f>
        <v/>
      </c>
    </row>
    <row r="22">
      <c r="B22" s="12" t="inlineStr">
        <is>
          <t>Inspection Fee</t>
        </is>
      </c>
      <c r="C22" s="13">
        <f>inspection_fee</f>
        <v/>
      </c>
      <c r="F22" s="12" t="inlineStr">
        <is>
          <t>% LP Capital Returned</t>
        </is>
      </c>
      <c r="G22" s="14">
        <f>IFERROR(MIN(1,G20/C24),0)</f>
        <v/>
      </c>
    </row>
    <row r="23">
      <c r="B23" s="12" t="inlineStr">
        <is>
          <t>Appraisal Fee</t>
        </is>
      </c>
      <c r="C23" s="13">
        <f>appraisal_fee</f>
        <v/>
      </c>
      <c r="F23" s="12" t="inlineStr">
        <is>
          <t>LP Capital Remaining %</t>
        </is>
      </c>
      <c r="G23" s="14">
        <f>1-G22</f>
        <v/>
      </c>
    </row>
    <row r="24">
      <c r="B24" s="15" t="inlineStr">
        <is>
          <t>LP Initial Investment</t>
        </is>
      </c>
      <c r="C24" s="16">
        <f>SUM(C15:C23)</f>
        <v/>
      </c>
      <c r="F24" s="12" t="inlineStr">
        <is>
          <t>GP/LP Split (post-LP-return)</t>
        </is>
      </c>
      <c r="G24" s="17">
        <f>TEXT(gp_lp_split_lp,"0%")&amp;" LP / "&amp;TEXT(1-gp_lp_split_lp,"0%")&amp;" GP"</f>
        <v/>
      </c>
    </row>
    <row r="25">
      <c r="B25" s="12" t="inlineStr">
        <is>
          <t>GP/LP Split (after capital returned)</t>
        </is>
      </c>
      <c r="C25" s="17">
        <f>TEXT(gp_lp_split_lp,"0%")&amp;" LP / "&amp;TEXT(1-gp_lp_split_lp,"0%")&amp;" GP"</f>
        <v/>
      </c>
    </row>
    <row r="27">
      <c r="B27" s="5" t="inlineStr">
        <is>
          <t>Mortgage Calculator</t>
        </is>
      </c>
      <c r="F27" s="5" t="inlineStr">
        <is>
          <t>Mortgage Calculator (Refi)</t>
        </is>
      </c>
    </row>
    <row r="28">
      <c r="B28" s="12" t="inlineStr">
        <is>
          <t>Down Payment (%)</t>
        </is>
      </c>
      <c r="C28" s="14">
        <f>down_payment_pct</f>
        <v/>
      </c>
      <c r="F28" s="12" t="inlineStr">
        <is>
          <t>Refi LTV</t>
        </is>
      </c>
      <c r="G28" s="14">
        <f>refi_ltv</f>
        <v/>
      </c>
    </row>
    <row r="29">
      <c r="B29" s="12" t="inlineStr">
        <is>
          <t>Down Payment ($)</t>
        </is>
      </c>
      <c r="C29" s="13">
        <f>purchase_price*down_payment_pct</f>
        <v/>
      </c>
      <c r="F29" s="12" t="inlineStr">
        <is>
          <t>Down Payment ($)</t>
        </is>
      </c>
      <c r="G29" s="13">
        <f>0</f>
        <v/>
      </c>
    </row>
    <row r="30">
      <c r="B30" s="12" t="inlineStr">
        <is>
          <t>Mortgage Amount</t>
        </is>
      </c>
      <c r="C30" s="13">
        <f>purchase_price*(1-down_payment_pct)</f>
        <v/>
      </c>
      <c r="F30" s="12" t="inlineStr">
        <is>
          <t>Mortgage Amount</t>
        </is>
      </c>
      <c r="G30" s="13">
        <f>arv*refi_ltv</f>
        <v/>
      </c>
    </row>
    <row r="31">
      <c r="B31" s="12" t="inlineStr">
        <is>
          <t>Interest Rate</t>
        </is>
      </c>
      <c r="C31" s="18">
        <f>interest_rate</f>
        <v/>
      </c>
      <c r="F31" s="12" t="inlineStr">
        <is>
          <t>Interest Rate</t>
        </is>
      </c>
      <c r="G31" s="18">
        <f>refi_interest_rate</f>
        <v/>
      </c>
    </row>
    <row r="32">
      <c r="B32" s="12" t="inlineStr">
        <is>
          <t>Term (yrs)</t>
        </is>
      </c>
      <c r="C32" s="13">
        <f>loan_term_yrs</f>
        <v/>
      </c>
      <c r="F32" s="12" t="inlineStr">
        <is>
          <t>Term (yrs)</t>
        </is>
      </c>
      <c r="G32" s="13">
        <f>refi_term_yrs</f>
        <v/>
      </c>
    </row>
    <row r="33">
      <c r="B33" s="12" t="inlineStr">
        <is>
          <t>Monthly Payment</t>
        </is>
      </c>
      <c r="C33" s="13">
        <f>IFERROR(-PMT(interest_rate/12,loan_term_yrs*12,purchase_price*(1-down_payment_pct)),0)</f>
        <v/>
      </c>
      <c r="F33" s="12" t="inlineStr">
        <is>
          <t>Monthly Payment</t>
        </is>
      </c>
      <c r="G33" s="13">
        <f>IFERROR(-PMT(refi_interest_rate/12,refi_term_yrs*12,arv*refi_ltv),0)</f>
        <v/>
      </c>
    </row>
    <row r="34">
      <c r="B34" s="12" t="inlineStr">
        <is>
          <t>Annual Debt Service</t>
        </is>
      </c>
      <c r="C34" s="13">
        <f>IFERROR(-PMT(interest_rate/12,loan_term_yrs*12,purchase_price*(1-down_payment_pct)),0)*12</f>
        <v/>
      </c>
      <c r="F34" s="12" t="inlineStr">
        <is>
          <t>Annual Debt Service</t>
        </is>
      </c>
      <c r="G34" s="13">
        <f>IFERROR(-PMT(refi_interest_rate/12,refi_term_yrs*12,arv*refi_ltv),0)*12</f>
        <v/>
      </c>
    </row>
    <row r="36">
      <c r="B36" s="5" t="inlineStr">
        <is>
          <t>Stabilized Proforma (Year 1)</t>
        </is>
      </c>
      <c r="F36" s="5" t="inlineStr">
        <is>
          <t>Stabilized Proforma (Year-After-Refi)</t>
        </is>
      </c>
    </row>
    <row r="37">
      <c r="B37" s="12" t="inlineStr"/>
      <c r="C37" s="19" t="inlineStr">
        <is>
          <t>Monthly</t>
        </is>
      </c>
      <c r="D37" s="19" t="inlineStr">
        <is>
          <t>Annual</t>
        </is>
      </c>
      <c r="G37" s="19" t="inlineStr">
        <is>
          <t>Monthly</t>
        </is>
      </c>
      <c r="H37" s="19" t="inlineStr">
        <is>
          <t>Annual</t>
        </is>
      </c>
    </row>
    <row r="38">
      <c r="B38" s="12" t="inlineStr">
        <is>
          <t>Rental Income (Gross)</t>
        </is>
      </c>
      <c r="C38" s="13">
        <f>D38/12</f>
        <v/>
      </c>
      <c r="D38" s="13">
        <f>'Cashflow'!D7</f>
        <v/>
      </c>
      <c r="F38" s="12" t="inlineStr">
        <is>
          <t>Rental Income (Gross)</t>
        </is>
      </c>
      <c r="G38" s="13">
        <f>H38/12</f>
        <v/>
      </c>
      <c r="H38" s="13">
        <f>INDEX('Cashflow'!C7:'Cashflow'!R7,IF(refi_year&gt;0,MIN(refi_year+2,hold_period_yrs+1),2))</f>
        <v/>
      </c>
    </row>
    <row r="39">
      <c r="B39" s="12" t="inlineStr">
        <is>
          <t>Vacancy</t>
        </is>
      </c>
      <c r="C39" s="13">
        <f>D39/12</f>
        <v/>
      </c>
      <c r="D39" s="13">
        <f>'Cashflow'!D8</f>
        <v/>
      </c>
      <c r="F39" s="12" t="inlineStr">
        <is>
          <t>Vacancy</t>
        </is>
      </c>
      <c r="G39" s="13">
        <f>H39/12</f>
        <v/>
      </c>
      <c r="H39" s="13">
        <f>INDEX('Cashflow'!C8:'Cashflow'!R8,IF(refi_year&gt;0,MIN(refi_year+2,hold_period_yrs+1),2))</f>
        <v/>
      </c>
    </row>
    <row r="40">
      <c r="B40" s="20" t="inlineStr">
        <is>
          <t>Effective Gross Income</t>
        </is>
      </c>
      <c r="C40" s="16">
        <f>D40/12</f>
        <v/>
      </c>
      <c r="D40" s="16">
        <f>'Cashflow'!D9</f>
        <v/>
      </c>
      <c r="F40" s="20" t="inlineStr">
        <is>
          <t>Effective Gross Income</t>
        </is>
      </c>
      <c r="G40" s="16">
        <f>H40/12</f>
        <v/>
      </c>
      <c r="H40" s="16">
        <f>INDEX('Cashflow'!C9:'Cashflow'!R9,IF(refi_year&gt;0,MIN(refi_year+2,hold_period_yrs+1),2))</f>
        <v/>
      </c>
    </row>
    <row r="41">
      <c r="B41" s="12" t="inlineStr">
        <is>
          <t>Property Tax</t>
        </is>
      </c>
      <c r="C41" s="13">
        <f>D41/12</f>
        <v/>
      </c>
      <c r="D41" s="13">
        <f>'Cashflow'!D17</f>
        <v/>
      </c>
      <c r="F41" s="12" t="inlineStr">
        <is>
          <t>Property Tax</t>
        </is>
      </c>
      <c r="G41" s="13">
        <f>H41/12</f>
        <v/>
      </c>
      <c r="H41" s="13">
        <f>INDEX('Cashflow'!C17:'Cashflow'!R17,IF(refi_year&gt;0,MIN(refi_year+2,hold_period_yrs+1),2))</f>
        <v/>
      </c>
    </row>
    <row r="42">
      <c r="B42" s="12" t="inlineStr">
        <is>
          <t>Insurance</t>
        </is>
      </c>
      <c r="C42" s="13">
        <f>D42/12</f>
        <v/>
      </c>
      <c r="D42" s="13">
        <f>'Cashflow'!D18</f>
        <v/>
      </c>
      <c r="F42" s="12" t="inlineStr">
        <is>
          <t>Insurance</t>
        </is>
      </c>
      <c r="G42" s="13">
        <f>H42/12</f>
        <v/>
      </c>
      <c r="H42" s="13">
        <f>INDEX('Cashflow'!C18:'Cashflow'!R18,IF(refi_year&gt;0,MIN(refi_year+2,hold_period_yrs+1),2))</f>
        <v/>
      </c>
    </row>
    <row r="43">
      <c r="B43" s="12" t="inlineStr">
        <is>
          <t>Utilities</t>
        </is>
      </c>
      <c r="C43" s="13">
        <f>D43/12</f>
        <v/>
      </c>
      <c r="D43" s="13">
        <f>'Cashflow'!D19</f>
        <v/>
      </c>
      <c r="F43" s="12" t="inlineStr">
        <is>
          <t>Utilities</t>
        </is>
      </c>
      <c r="G43" s="13">
        <f>H43/12</f>
        <v/>
      </c>
      <c r="H43" s="13">
        <f>INDEX('Cashflow'!C19:'Cashflow'!R19,IF(refi_year&gt;0,MIN(refi_year+2,hold_period_yrs+1),2))</f>
        <v/>
      </c>
    </row>
    <row r="44">
      <c r="B44" s="12" t="inlineStr">
        <is>
          <t>Management</t>
        </is>
      </c>
      <c r="C44" s="13">
        <f>D44/12</f>
        <v/>
      </c>
      <c r="D44" s="13">
        <f>'Cashflow'!D12</f>
        <v/>
      </c>
      <c r="F44" s="12" t="inlineStr">
        <is>
          <t>Management</t>
        </is>
      </c>
      <c r="G44" s="13">
        <f>H44/12</f>
        <v/>
      </c>
      <c r="H44" s="13">
        <f>INDEX('Cashflow'!C12:'Cashflow'!R12,IF(refi_year&gt;0,MIN(refi_year+2,hold_period_yrs+1),2))</f>
        <v/>
      </c>
    </row>
    <row r="45">
      <c r="B45" s="12" t="inlineStr">
        <is>
          <t>Maintenance</t>
        </is>
      </c>
      <c r="C45" s="13">
        <f>D45/12</f>
        <v/>
      </c>
      <c r="D45" s="13">
        <f>'Cashflow'!D13</f>
        <v/>
      </c>
      <c r="F45" s="12" t="inlineStr">
        <is>
          <t>Maintenance</t>
        </is>
      </c>
      <c r="G45" s="13">
        <f>H45/12</f>
        <v/>
      </c>
      <c r="H45" s="13">
        <f>INDEX('Cashflow'!C13:'Cashflow'!R13,IF(refi_year&gt;0,MIN(refi_year+2,hold_period_yrs+1),2))</f>
        <v/>
      </c>
    </row>
    <row r="46">
      <c r="B46" s="12" t="inlineStr">
        <is>
          <t>CapEx Reserve</t>
        </is>
      </c>
      <c r="C46" s="13">
        <f>D46/12</f>
        <v/>
      </c>
      <c r="D46" s="13">
        <f>'Cashflow'!D14</f>
        <v/>
      </c>
      <c r="F46" s="12" t="inlineStr">
        <is>
          <t>CapEx Reserve</t>
        </is>
      </c>
      <c r="G46" s="13">
        <f>H46/12</f>
        <v/>
      </c>
      <c r="H46" s="13">
        <f>INDEX('Cashflow'!C14:'Cashflow'!R14,IF(refi_year&gt;0,MIN(refi_year+2,hold_period_yrs+1),2))</f>
        <v/>
      </c>
    </row>
    <row r="47">
      <c r="B47" s="20" t="inlineStr">
        <is>
          <t>Net Operating Income</t>
        </is>
      </c>
      <c r="C47" s="16">
        <f>D47/12</f>
        <v/>
      </c>
      <c r="D47" s="16">
        <f>'Cashflow'!D22</f>
        <v/>
      </c>
      <c r="F47" s="20" t="inlineStr">
        <is>
          <t>Net Operating Income</t>
        </is>
      </c>
      <c r="G47" s="16">
        <f>H47/12</f>
        <v/>
      </c>
      <c r="H47" s="16">
        <f>INDEX('Cashflow'!C22:'Cashflow'!R22,IF(refi_year&gt;0,MIN(refi_year+2,hold_period_yrs+1),2))</f>
        <v/>
      </c>
    </row>
    <row r="48">
      <c r="B48" s="12" t="inlineStr">
        <is>
          <t>Annual Debt Service</t>
        </is>
      </c>
      <c r="C48" s="13">
        <f>D48/12</f>
        <v/>
      </c>
      <c r="D48" s="13">
        <f>'Cashflow'!D29</f>
        <v/>
      </c>
      <c r="F48" s="12" t="inlineStr">
        <is>
          <t>Annual Debt Service</t>
        </is>
      </c>
      <c r="G48" s="13">
        <f>H48/12</f>
        <v/>
      </c>
      <c r="H48" s="13">
        <f>INDEX('Cashflow'!C29:'Cashflow'!R29,IF(refi_year&gt;0,MIN(refi_year+2,hold_period_yrs+1),2))</f>
        <v/>
      </c>
    </row>
    <row r="49">
      <c r="B49" s="20" t="inlineStr">
        <is>
          <t>Operating Cash Flow</t>
        </is>
      </c>
      <c r="C49" s="16">
        <f>D49/12</f>
        <v/>
      </c>
      <c r="D49" s="16">
        <f>'Cashflow'!D31</f>
        <v/>
      </c>
      <c r="F49" s="20" t="inlineStr">
        <is>
          <t>Operating Cash Flow</t>
        </is>
      </c>
      <c r="G49" s="16">
        <f>H49/12</f>
        <v/>
      </c>
      <c r="H49" s="16">
        <f>INDEX('Cashflow'!C31:'Cashflow'!R31,IF(refi_year&gt;0,MIN(refi_year+2,hold_period_yrs+1),2))</f>
        <v/>
      </c>
    </row>
    <row r="51">
      <c r="B51" s="15" t="inlineStr">
        <is>
          <t>Cap Rate (on Purchase / ARV)</t>
        </is>
      </c>
      <c r="D51" s="21">
        <f>IFERROR('Cashflow'!D22/purchase_price,0)</f>
        <v/>
      </c>
      <c r="F51" s="15" t="inlineStr">
        <is>
          <t>Cap Rate (on Purchase / ARV)</t>
        </is>
      </c>
      <c r="H51" s="21">
        <f>IFERROR(INDEX('Cashflow'!C22:'Cashflow'!R22,IF(refi_year&gt;0,MIN(refi_year+2,hold_period_yrs+1),2))/arv,0)</f>
        <v/>
      </c>
    </row>
    <row r="52">
      <c r="B52" s="15" t="inlineStr">
        <is>
          <t>Cap Rate (on LP Basis)</t>
        </is>
      </c>
      <c r="D52" s="21">
        <f>IFERROR('Cashflow'!D22/(-'Cashflow'!C38),0)</f>
        <v/>
      </c>
      <c r="F52" s="15" t="inlineStr">
        <is>
          <t>Cap Rate (on LP Basis)</t>
        </is>
      </c>
      <c r="H52" s="21">
        <f>IFERROR(INDEX('Cashflow'!C22:'Cashflow'!R22,IF(refi_year&gt;0,MIN(refi_year+2,hold_period_yrs+1),2))/MAX(1,C24-G20),0)</f>
        <v/>
      </c>
    </row>
    <row r="53">
      <c r="B53" s="15" t="inlineStr">
        <is>
          <t>Cash-on-Cash</t>
        </is>
      </c>
      <c r="D53" s="21">
        <f>IFERROR('Cashflow'!D31/(-'Cashflow'!C38),0)</f>
        <v/>
      </c>
      <c r="F53" s="15" t="inlineStr">
        <is>
          <t>Cash-on-Cash</t>
        </is>
      </c>
      <c r="H53" s="21">
        <f>IFERROR(INDEX('Cashflow'!C31:'Cashflow'!R31,IF(refi_year&gt;0,MIN(refi_year+2,hold_period_yrs+1),2))/MAX(1,C24-G20),0)</f>
        <v/>
      </c>
    </row>
    <row r="56">
      <c r="B56" s="5" t="inlineStr">
        <is>
          <t>10-Year Cashflow Forecast</t>
        </is>
      </c>
      <c r="C56" s="6" t="n"/>
      <c r="D56" s="6" t="n"/>
      <c r="E56" s="6" t="n"/>
      <c r="F56" s="6" t="n"/>
      <c r="G56" s="6" t="n"/>
      <c r="H56" s="6" t="n"/>
    </row>
    <row r="57">
      <c r="B57" s="22" t="inlineStr">
        <is>
          <t>Year</t>
        </is>
      </c>
      <c r="C57" s="22" t="inlineStr">
        <is>
          <t>Property Value</t>
        </is>
      </c>
      <c r="D57" s="22" t="inlineStr">
        <is>
          <t>Net Cash Flow</t>
        </is>
      </c>
      <c r="E57" s="22" t="inlineStr">
        <is>
          <t>LP Distribution</t>
        </is>
      </c>
      <c r="F57" s="22" t="inlineStr">
        <is>
          <t>GP Distribution</t>
        </is>
      </c>
      <c r="G57" s="22" t="inlineStr">
        <is>
          <t>Outstanding Loan</t>
        </is>
      </c>
      <c r="H57" s="22" t="inlineStr">
        <is>
          <t>Equity Value</t>
        </is>
      </c>
    </row>
    <row r="58">
      <c r="B58" s="23" t="n">
        <v>0</v>
      </c>
      <c r="C58" s="13">
        <f>'Cashflow'!C42</f>
        <v/>
      </c>
      <c r="D58" s="13">
        <f>'Cashflow'!C38</f>
        <v/>
      </c>
      <c r="E58" s="13">
        <f>'Cashflow'!C47</f>
        <v/>
      </c>
      <c r="F58" s="13">
        <f>'Cashflow'!C48</f>
        <v/>
      </c>
      <c r="G58" s="13">
        <f>'Cashflow'!C43</f>
        <v/>
      </c>
      <c r="H58" s="13">
        <f>'Cashflow'!C44</f>
        <v/>
      </c>
    </row>
    <row r="59">
      <c r="B59" s="23" t="n">
        <v>1</v>
      </c>
      <c r="C59" s="13">
        <f>'Cashflow'!D42</f>
        <v/>
      </c>
      <c r="D59" s="13">
        <f>'Cashflow'!D38</f>
        <v/>
      </c>
      <c r="E59" s="13">
        <f>'Cashflow'!D47</f>
        <v/>
      </c>
      <c r="F59" s="13">
        <f>'Cashflow'!D48</f>
        <v/>
      </c>
      <c r="G59" s="13">
        <f>'Cashflow'!D43</f>
        <v/>
      </c>
      <c r="H59" s="13">
        <f>'Cashflow'!D44</f>
        <v/>
      </c>
    </row>
    <row r="60">
      <c r="B60" s="23" t="n">
        <v>2</v>
      </c>
      <c r="C60" s="13">
        <f>'Cashflow'!E42</f>
        <v/>
      </c>
      <c r="D60" s="13">
        <f>'Cashflow'!E38</f>
        <v/>
      </c>
      <c r="E60" s="13">
        <f>'Cashflow'!E47</f>
        <v/>
      </c>
      <c r="F60" s="13">
        <f>'Cashflow'!E48</f>
        <v/>
      </c>
      <c r="G60" s="13">
        <f>'Cashflow'!E43</f>
        <v/>
      </c>
      <c r="H60" s="13">
        <f>'Cashflow'!E44</f>
        <v/>
      </c>
    </row>
    <row r="61">
      <c r="B61" s="23" t="n">
        <v>3</v>
      </c>
      <c r="C61" s="13">
        <f>'Cashflow'!F42</f>
        <v/>
      </c>
      <c r="D61" s="13">
        <f>'Cashflow'!F38</f>
        <v/>
      </c>
      <c r="E61" s="13">
        <f>'Cashflow'!F47</f>
        <v/>
      </c>
      <c r="F61" s="13">
        <f>'Cashflow'!F48</f>
        <v/>
      </c>
      <c r="G61" s="13">
        <f>'Cashflow'!F43</f>
        <v/>
      </c>
      <c r="H61" s="13">
        <f>'Cashflow'!F44</f>
        <v/>
      </c>
    </row>
    <row r="62">
      <c r="B62" s="23" t="n">
        <v>4</v>
      </c>
      <c r="C62" s="13">
        <f>'Cashflow'!G42</f>
        <v/>
      </c>
      <c r="D62" s="13">
        <f>'Cashflow'!G38</f>
        <v/>
      </c>
      <c r="E62" s="13">
        <f>'Cashflow'!G47</f>
        <v/>
      </c>
      <c r="F62" s="13">
        <f>'Cashflow'!G48</f>
        <v/>
      </c>
      <c r="G62" s="13">
        <f>'Cashflow'!G43</f>
        <v/>
      </c>
      <c r="H62" s="13">
        <f>'Cashflow'!G44</f>
        <v/>
      </c>
    </row>
    <row r="63">
      <c r="B63" s="23" t="n">
        <v>5</v>
      </c>
      <c r="C63" s="13">
        <f>'Cashflow'!H42</f>
        <v/>
      </c>
      <c r="D63" s="13">
        <f>'Cashflow'!H38</f>
        <v/>
      </c>
      <c r="E63" s="13">
        <f>'Cashflow'!H47</f>
        <v/>
      </c>
      <c r="F63" s="13">
        <f>'Cashflow'!H48</f>
        <v/>
      </c>
      <c r="G63" s="13">
        <f>'Cashflow'!H43</f>
        <v/>
      </c>
      <c r="H63" s="13">
        <f>'Cashflow'!H44</f>
        <v/>
      </c>
    </row>
    <row r="64">
      <c r="B64" s="23" t="n">
        <v>6</v>
      </c>
      <c r="C64" s="13">
        <f>'Cashflow'!I42</f>
        <v/>
      </c>
      <c r="D64" s="13">
        <f>'Cashflow'!I38</f>
        <v/>
      </c>
      <c r="E64" s="13">
        <f>'Cashflow'!I47</f>
        <v/>
      </c>
      <c r="F64" s="13">
        <f>'Cashflow'!I48</f>
        <v/>
      </c>
      <c r="G64" s="13">
        <f>'Cashflow'!I43</f>
        <v/>
      </c>
      <c r="H64" s="13">
        <f>'Cashflow'!I44</f>
        <v/>
      </c>
    </row>
    <row r="65">
      <c r="B65" s="23" t="n">
        <v>7</v>
      </c>
      <c r="C65" s="13">
        <f>'Cashflow'!J42</f>
        <v/>
      </c>
      <c r="D65" s="13">
        <f>'Cashflow'!J38</f>
        <v/>
      </c>
      <c r="E65" s="13">
        <f>'Cashflow'!J47</f>
        <v/>
      </c>
      <c r="F65" s="13">
        <f>'Cashflow'!J48</f>
        <v/>
      </c>
      <c r="G65" s="13">
        <f>'Cashflow'!J43</f>
        <v/>
      </c>
      <c r="H65" s="13">
        <f>'Cashflow'!J44</f>
        <v/>
      </c>
    </row>
    <row r="66">
      <c r="B66" s="23" t="n">
        <v>8</v>
      </c>
      <c r="C66" s="13">
        <f>'Cashflow'!K42</f>
        <v/>
      </c>
      <c r="D66" s="13">
        <f>'Cashflow'!K38</f>
        <v/>
      </c>
      <c r="E66" s="13">
        <f>'Cashflow'!K47</f>
        <v/>
      </c>
      <c r="F66" s="13">
        <f>'Cashflow'!K48</f>
        <v/>
      </c>
      <c r="G66" s="13">
        <f>'Cashflow'!K43</f>
        <v/>
      </c>
      <c r="H66" s="13">
        <f>'Cashflow'!K44</f>
        <v/>
      </c>
    </row>
    <row r="67">
      <c r="B67" s="23" t="n">
        <v>9</v>
      </c>
      <c r="C67" s="13">
        <f>'Cashflow'!L42</f>
        <v/>
      </c>
      <c r="D67" s="13">
        <f>'Cashflow'!L38</f>
        <v/>
      </c>
      <c r="E67" s="13">
        <f>'Cashflow'!L47</f>
        <v/>
      </c>
      <c r="F67" s="13">
        <f>'Cashflow'!L48</f>
        <v/>
      </c>
      <c r="G67" s="13">
        <f>'Cashflow'!L43</f>
        <v/>
      </c>
      <c r="H67" s="13">
        <f>'Cashflow'!L44</f>
        <v/>
      </c>
    </row>
    <row r="68">
      <c r="B68" s="23" t="n">
        <v>10</v>
      </c>
      <c r="C68" s="13">
        <f>'Cashflow'!M42</f>
        <v/>
      </c>
      <c r="D68" s="13">
        <f>'Cashflow'!M38</f>
        <v/>
      </c>
      <c r="E68" s="13">
        <f>'Cashflow'!M47</f>
        <v/>
      </c>
      <c r="F68" s="13">
        <f>'Cashflow'!M48</f>
        <v/>
      </c>
      <c r="G68" s="13">
        <f>'Cashflow'!M43</f>
        <v/>
      </c>
      <c r="H68" s="13">
        <f>'Cashflow'!M44</f>
        <v/>
      </c>
    </row>
    <row r="69">
      <c r="B69" s="24" t="inlineStr">
        <is>
          <t>Total</t>
        </is>
      </c>
      <c r="D69" s="16">
        <f>SUM(D58:D68)</f>
        <v/>
      </c>
      <c r="E69" s="16">
        <f>SUM(E58:E68)</f>
        <v/>
      </c>
      <c r="F69" s="16">
        <f>SUM(F58:F68)</f>
        <v/>
      </c>
    </row>
    <row r="71">
      <c r="B71" s="5" t="inlineStr">
        <is>
          <t>Buy / No-Buy</t>
        </is>
      </c>
      <c r="C71" s="6" t="n"/>
      <c r="D71" s="6" t="n"/>
      <c r="E71" s="6" t="n"/>
      <c r="F71" s="6" t="n"/>
      <c r="G71" s="6" t="n"/>
      <c r="H71" s="6" t="n"/>
    </row>
    <row r="72">
      <c r="B72" s="22" t="inlineStr">
        <is>
          <t>Metric</t>
        </is>
      </c>
      <c r="C72" s="22" t="inlineStr">
        <is>
          <t>Value</t>
        </is>
      </c>
      <c r="D72" s="22" t="inlineStr">
        <is>
          <t>Threshold</t>
        </is>
      </c>
      <c r="E72" s="22" t="inlineStr">
        <is>
          <t>Status</t>
        </is>
      </c>
    </row>
    <row r="73">
      <c r="B73" s="12" t="inlineStr">
        <is>
          <t>Cap Rate (Y1)</t>
        </is>
      </c>
      <c r="C73" s="18">
        <f>IFERROR('Cashflow'!D22/purchase_price,0)</f>
        <v/>
      </c>
      <c r="D73" s="18">
        <f>cap_rate_min</f>
        <v/>
      </c>
      <c r="E73" s="25">
        <f>IF(C73&gt;=D73,"PASS","FAIL")</f>
        <v/>
      </c>
    </row>
    <row r="74">
      <c r="B74" s="12" t="inlineStr">
        <is>
          <t>Cash-on-Cash (Y1)</t>
        </is>
      </c>
      <c r="C74" s="18">
        <f>IFERROR('Cashflow'!D31/(-'Cashflow'!C38),0)</f>
        <v/>
      </c>
      <c r="D74" s="18">
        <f>cash_on_cash_min</f>
        <v/>
      </c>
      <c r="E74" s="25">
        <f>IF(C74&gt;=D74,"PASS","FAIL")</f>
        <v/>
      </c>
    </row>
    <row r="75">
      <c r="B75" s="12" t="inlineStr">
        <is>
          <t>DSCR (min observed)</t>
        </is>
      </c>
      <c r="C75" s="45">
        <f>IF(COUNT('Cashflow'!D39:'Cashflow'!R39)=0,9999,MIN('Cashflow'!D39:'Cashflow'!R39))</f>
        <v/>
      </c>
      <c r="D75" s="45">
        <f>dscr_min</f>
        <v/>
      </c>
      <c r="E75" s="25">
        <f>IF(C75&gt;=D75,"PASS","FAIL")</f>
        <v/>
      </c>
    </row>
    <row r="76">
      <c r="B76" s="12" t="inlineStr">
        <is>
          <t>Levered IRR</t>
        </is>
      </c>
      <c r="C76" s="18">
        <f>IFERROR(IRR('Cashflow'!C38:'Cashflow'!R38),0)</f>
        <v/>
      </c>
      <c r="D76" s="18">
        <f>irr_min</f>
        <v/>
      </c>
      <c r="E76" s="25">
        <f>IF(C76&gt;=D76,"PASS","FAIL")</f>
        <v/>
      </c>
    </row>
    <row r="77">
      <c r="B77" s="12" t="inlineStr">
        <is>
          <t>Price / ARV</t>
        </is>
      </c>
      <c r="C77" s="14">
        <f>IFERROR(purchase_price/arv,0)</f>
        <v/>
      </c>
      <c r="D77" s="14">
        <f>max_price_to_arv</f>
        <v/>
      </c>
      <c r="E77" s="25">
        <f>IF(C77&lt;=D77,"PASS","FAIL")</f>
        <v/>
      </c>
    </row>
    <row r="79">
      <c r="B79" s="12" t="inlineStr">
        <is>
          <t>Checks Passed</t>
        </is>
      </c>
      <c r="C79" s="13">
        <f>IF(E73="PASS",1,0)+IF(E74="PASS",1,0)+IF(E75="PASS",1,0)+IF(E76="PASS",1,0)+IF(E77="PASS",1,0)</f>
        <v/>
      </c>
    </row>
    <row r="80">
      <c r="B80" s="12" t="inlineStr">
        <is>
          <t>Checks Failed</t>
        </is>
      </c>
      <c r="C80" s="13">
        <f>IF(E73="FAIL",1,0)+IF(E74="FAIL",1,0)+IF(E75="FAIL",1,0)+IF(E76="FAIL",1,0)+IF(E77="FAIL",1,0)</f>
        <v/>
      </c>
    </row>
    <row r="82">
      <c r="B82" s="5" t="inlineStr">
        <is>
          <t>Sensitivity — Cap Rate (Y1 on Purchase Price)</t>
        </is>
      </c>
      <c r="C82" s="6" t="n"/>
      <c r="D82" s="6" t="n"/>
      <c r="E82" s="6" t="n"/>
      <c r="F82" s="6" t="n"/>
      <c r="G82" s="6" t="n"/>
      <c r="H82" s="6" t="n"/>
    </row>
    <row r="83">
      <c r="B83" s="12" t="inlineStr"/>
      <c r="C83" s="25" t="inlineStr">
        <is>
          <t>Rent -10%</t>
        </is>
      </c>
      <c r="D83" s="25" t="inlineStr">
        <is>
          <t>Underwriting Rent</t>
        </is>
      </c>
      <c r="E83" s="25" t="inlineStr">
        <is>
          <t>Rent +10%</t>
        </is>
      </c>
    </row>
    <row r="84">
      <c r="B84" s="12" t="inlineStr">
        <is>
          <t>Cap Rate -100bps target</t>
        </is>
      </c>
      <c r="C84" s="27">
        <f>IFERROR((0.9*'Cashflow'!D7*(1-vacancy_rate-(management_pct+maintenance_pct+capex_reserve_pct))+('Cashflow'!D17+'Cashflow'!D18+'Cashflow'!D19+'Cashflow'!D20))/purchase_price,0)</f>
        <v/>
      </c>
      <c r="D84" s="27">
        <f>IFERROR((1.0*'Cashflow'!D7*(1-vacancy_rate-(management_pct+maintenance_pct+capex_reserve_pct))+('Cashflow'!D17+'Cashflow'!D18+'Cashflow'!D19+'Cashflow'!D20))/purchase_price,0)</f>
        <v/>
      </c>
      <c r="E84" s="27">
        <f>IFERROR((1.1*'Cashflow'!D7*(1-vacancy_rate-(management_pct+maintenance_pct+capex_reserve_pct))+('Cashflow'!D17+'Cashflow'!D18+'Cashflow'!D19+'Cashflow'!D20))/purchase_price,0)</f>
        <v/>
      </c>
    </row>
    <row r="85">
      <c r="B85" s="12" t="inlineStr">
        <is>
          <t>Target Cap Rate</t>
        </is>
      </c>
      <c r="C85" s="27">
        <f>IFERROR((0.9*'Cashflow'!D7*(1-vacancy_rate-(management_pct+maintenance_pct+capex_reserve_pct))+('Cashflow'!D17+'Cashflow'!D18+'Cashflow'!D19+'Cashflow'!D20))/purchase_price,0)</f>
        <v/>
      </c>
      <c r="D85" s="27">
        <f>IFERROR((1.0*'Cashflow'!D7*(1-vacancy_rate-(management_pct+maintenance_pct+capex_reserve_pct))+('Cashflow'!D17+'Cashflow'!D18+'Cashflow'!D19+'Cashflow'!D20))/purchase_price,0)</f>
        <v/>
      </c>
      <c r="E85" s="27">
        <f>IFERROR((1.1*'Cashflow'!D7*(1-vacancy_rate-(management_pct+maintenance_pct+capex_reserve_pct))+('Cashflow'!D17+'Cashflow'!D18+'Cashflow'!D19+'Cashflow'!D20))/purchase_price,0)</f>
        <v/>
      </c>
    </row>
    <row r="86">
      <c r="B86" s="12" t="inlineStr">
        <is>
          <t>Cap Rate +100bps target</t>
        </is>
      </c>
      <c r="C86" s="27">
        <f>IFERROR((0.9*'Cashflow'!D7*(1-vacancy_rate-(management_pct+maintenance_pct+capex_reserve_pct))+('Cashflow'!D17+'Cashflow'!D18+'Cashflow'!D19+'Cashflow'!D20))/purchase_price,0)</f>
        <v/>
      </c>
      <c r="D86" s="27">
        <f>IFERROR((1.0*'Cashflow'!D7*(1-vacancy_rate-(management_pct+maintenance_pct+capex_reserve_pct))+('Cashflow'!D17+'Cashflow'!D18+'Cashflow'!D19+'Cashflow'!D20))/purchase_price,0)</f>
        <v/>
      </c>
      <c r="E86" s="27">
        <f>IFERROR((1.1*'Cashflow'!D7*(1-vacancy_rate-(management_pct+maintenance_pct+capex_reserve_pct))+('Cashflow'!D17+'Cashflow'!D18+'Cashflow'!D19+'Cashflow'!D20))/purchase_price,0)</f>
        <v/>
      </c>
    </row>
    <row r="88">
      <c r="B88" s="28" t="inlineStr">
        <is>
          <t>Cells show resulting Y1 cap rate at varying rent factors. Compare each cell against the threshold suggested by the row label.</t>
        </is>
      </c>
    </row>
  </sheetData>
  <conditionalFormatting sqref="E73:E77">
    <cfRule type="cellIs" priority="1" operator="equal" dxfId="0">
      <formula>"PASS"</formula>
    </cfRule>
    <cfRule type="cellIs" priority="2" operator="equal" dxfId="1">
      <formula>"FAIL"</formula>
    </cfRule>
  </conditionalFormatting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&amp;LSummary&amp;CConfidential&amp;RPage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B1:D76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50" customWidth="1" min="4" max="4"/>
  </cols>
  <sheetData>
    <row r="1">
      <c r="B1" s="1" t="inlineStr">
        <is>
          <t>Property Analysis — Inputs</t>
        </is>
      </c>
    </row>
    <row r="3">
      <c r="B3" s="29" t="inlineStr">
        <is>
          <t>All inputs the model needs. Blue cells are editable. The skill writes only to this tab. Italic-gray rows = source / provenance (auto-populated).</t>
        </is>
      </c>
    </row>
    <row r="5">
      <c r="B5" s="3" t="inlineStr">
        <is>
          <t>Input</t>
        </is>
      </c>
      <c r="C5" s="3" t="inlineStr">
        <is>
          <t>Value</t>
        </is>
      </c>
      <c r="D5" s="3" t="inlineStr">
        <is>
          <t>Note</t>
        </is>
      </c>
    </row>
    <row r="6">
      <c r="B6" s="5" t="inlineStr">
        <is>
          <t>Property</t>
        </is>
      </c>
      <c r="C6" s="6" t="n"/>
      <c r="D6" s="6" t="n"/>
    </row>
    <row r="7">
      <c r="B7" s="2" t="inlineStr">
        <is>
          <t>Property Address</t>
        </is>
      </c>
      <c r="C7" s="30" t="inlineStr">
        <is>
          <t>1417 S Canal St, Pittsburgh, PA 15215</t>
        </is>
      </c>
      <c r="D7" s="28" t="inlineStr">
        <is>
          <t>Full street address as provided by the prompt.</t>
        </is>
      </c>
    </row>
    <row r="8">
      <c r="B8" s="2" t="inlineStr">
        <is>
          <t>ZIP Code</t>
        </is>
      </c>
      <c r="C8" s="30" t="inlineStr">
        <is>
          <t>15215</t>
        </is>
      </c>
      <c r="D8" s="28" t="inlineStr">
        <is>
          <t>Parsed from address; drives HUD FMR + SAFMR lookup.</t>
        </is>
      </c>
    </row>
    <row r="9">
      <c r="B9" s="2" t="inlineStr">
        <is>
          <t>Bedrooms</t>
        </is>
      </c>
      <c r="C9" s="31" t="n">
        <v>3</v>
      </c>
      <c r="D9" s="28" t="inlineStr">
        <is>
          <t>Drives FMR lookup by bedroom count.</t>
        </is>
      </c>
    </row>
    <row r="10">
      <c r="B10" s="2" t="inlineStr">
        <is>
          <t>Bathrooms</t>
        </is>
      </c>
      <c r="C10" s="46" t="n">
        <v>1</v>
      </c>
    </row>
    <row r="11">
      <c r="B11" s="33" t="inlineStr">
        <is>
          <t>Beds — Source</t>
        </is>
      </c>
      <c r="C11" s="34" t="inlineStr">
        <is>
          <t>Joe override</t>
        </is>
      </c>
      <c r="D11" s="28" t="inlineStr">
        <is>
          <t>WPRDC / RentCast / prompt / override.</t>
        </is>
      </c>
    </row>
    <row r="13">
      <c r="B13" s="5" t="inlineStr">
        <is>
          <t>Deal Particulars</t>
        </is>
      </c>
      <c r="C13" s="6" t="n"/>
      <c r="D13" s="6" t="n"/>
    </row>
    <row r="14">
      <c r="B14" s="2" t="inlineStr">
        <is>
          <t>Purchase Price</t>
        </is>
      </c>
      <c r="C14" s="31" t="n">
        <v>130000</v>
      </c>
    </row>
    <row r="15">
      <c r="B15" s="33" t="inlineStr">
        <is>
          <t>Purchase Price — Source</t>
        </is>
      </c>
      <c r="C15" s="34" t="inlineStr">
        <is>
          <t>Wholesaler quote (off-market)</t>
        </is>
      </c>
      <c r="D15" s="28" t="inlineStr">
        <is>
          <t>Wholesaler quote / MLS / Joe's offer.</t>
        </is>
      </c>
    </row>
    <row r="16">
      <c r="B16" s="2" t="inlineStr">
        <is>
          <t>ARV (After-Repair Value)</t>
        </is>
      </c>
      <c r="C16" s="31" t="n">
        <v>255000</v>
      </c>
    </row>
    <row r="17">
      <c r="B17" s="33" t="inlineStr">
        <is>
          <t>ARV — Source</t>
        </is>
      </c>
      <c r="C17" s="34" t="inlineStr">
        <is>
          <t>Joe override / wholesaler quote</t>
        </is>
      </c>
      <c r="D17" s="28" t="inlineStr">
        <is>
          <t>RentCast comps / appraisal / manual.</t>
        </is>
      </c>
    </row>
    <row r="18">
      <c r="B18" s="2" t="inlineStr">
        <is>
          <t>Rehab Cost</t>
        </is>
      </c>
      <c r="C18" s="31" t="n">
        <v>55000</v>
      </c>
    </row>
    <row r="19">
      <c r="B19" s="2" t="inlineStr">
        <is>
          <t>Closing Cost (% of price)</t>
        </is>
      </c>
      <c r="C19" s="35" t="n">
        <v>0.07000000000000001</v>
      </c>
    </row>
    <row r="20">
      <c r="B20" s="2" t="inlineStr">
        <is>
          <t>Holding Period (months)</t>
        </is>
      </c>
      <c r="C20" s="46" t="n">
        <v>3</v>
      </c>
      <c r="D20" s="28" t="inlineStr">
        <is>
          <t>Months between acquisition and rent-ready.</t>
        </is>
      </c>
    </row>
    <row r="22">
      <c r="B22" s="5" t="inlineStr">
        <is>
          <t>Acquisition Line Items (one-time, capitalized into LP basis)</t>
        </is>
      </c>
      <c r="C22" s="6" t="n"/>
      <c r="D22" s="6" t="n"/>
    </row>
    <row r="23">
      <c r="B23" s="2" t="inlineStr">
        <is>
          <t>Wholesaler Fee</t>
        </is>
      </c>
      <c r="C23" s="31" t="n">
        <v>7000</v>
      </c>
      <c r="D23" s="28" t="inlineStr">
        <is>
          <t>0 if direct off-market or MLS.</t>
        </is>
      </c>
    </row>
    <row r="24">
      <c r="B24" s="2" t="inlineStr">
        <is>
          <t>Inspection Fee</t>
        </is>
      </c>
      <c r="C24" s="31" t="n">
        <v>350</v>
      </c>
    </row>
    <row r="25">
      <c r="B25" s="2" t="inlineStr">
        <is>
          <t>Appraisal Fee</t>
        </is>
      </c>
      <c r="C25" s="31" t="n">
        <v>750</v>
      </c>
    </row>
    <row r="26">
      <c r="B26" s="2" t="inlineStr">
        <is>
          <t>Holding-Period Utilities / Mo</t>
        </is>
      </c>
      <c r="C26" s="31" t="n">
        <v>500</v>
      </c>
      <c r="D26" s="28" t="inlineStr">
        <is>
          <t>Owner-paid tax/ins/util carry during rehab.</t>
        </is>
      </c>
    </row>
    <row r="28">
      <c r="B28" s="5" t="inlineStr">
        <is>
          <t>Financing — Acquisition</t>
        </is>
      </c>
      <c r="C28" s="6" t="n"/>
      <c r="D28" s="6" t="n"/>
    </row>
    <row r="29">
      <c r="B29" s="2" t="inlineStr">
        <is>
          <t>Down Payment (% of price)</t>
        </is>
      </c>
      <c r="C29" s="35" t="n">
        <v>1</v>
      </c>
      <c r="D29" s="28" t="inlineStr">
        <is>
          <t>1.0 = all cash; 0.20 = 20% down.</t>
        </is>
      </c>
    </row>
    <row r="30">
      <c r="B30" s="2" t="inlineStr">
        <is>
          <t>Interest Rate</t>
        </is>
      </c>
      <c r="C30" s="36" t="n">
        <v>0.095</v>
      </c>
    </row>
    <row r="31">
      <c r="B31" s="2" t="inlineStr">
        <is>
          <t>Loan Term (yrs)</t>
        </is>
      </c>
      <c r="C31" s="31" t="n">
        <v>30</v>
      </c>
    </row>
    <row r="33">
      <c r="B33" s="5" t="inlineStr">
        <is>
          <t>Financing — Refinance (BRRRR)</t>
        </is>
      </c>
      <c r="C33" s="6" t="n"/>
      <c r="D33" s="6" t="n"/>
    </row>
    <row r="34">
      <c r="B34" s="2" t="inlineStr">
        <is>
          <t>Refi Year (0 = no refi)</t>
        </is>
      </c>
      <c r="C34" s="31" t="n">
        <v>3</v>
      </c>
    </row>
    <row r="35">
      <c r="B35" s="2" t="inlineStr">
        <is>
          <t>Refi LTV (% of ARV)</t>
        </is>
      </c>
      <c r="C35" s="35" t="n">
        <v>0.75</v>
      </c>
    </row>
    <row r="36">
      <c r="B36" s="2" t="inlineStr">
        <is>
          <t>Refi Interest Rate</t>
        </is>
      </c>
      <c r="C36" s="36" t="n">
        <v>0.075</v>
      </c>
    </row>
    <row r="37">
      <c r="B37" s="2" t="inlineStr">
        <is>
          <t>Refi Term (yrs)</t>
        </is>
      </c>
      <c r="C37" s="31" t="n">
        <v>30</v>
      </c>
    </row>
    <row r="38">
      <c r="B38" s="2" t="inlineStr">
        <is>
          <t>Refi Closing Cost (% of loan)</t>
        </is>
      </c>
      <c r="C38" s="35" t="n">
        <v>0.04</v>
      </c>
    </row>
    <row r="40">
      <c r="B40" s="5" t="inlineStr">
        <is>
          <t>Operating — Rent (Section 8 oriented)</t>
        </is>
      </c>
      <c r="C40" s="6" t="n"/>
      <c r="D40" s="6" t="n"/>
    </row>
    <row r="41">
      <c r="B41" s="2" t="inlineStr">
        <is>
          <t>Underwriting Rent (monthly)</t>
        </is>
      </c>
      <c r="C41" s="31" t="n">
        <v>2500</v>
      </c>
      <c r="D41" s="28" t="inlineStr">
        <is>
          <t>HUD FMR for Section 8 tenancies.</t>
        </is>
      </c>
    </row>
    <row r="42">
      <c r="B42" s="33" t="inlineStr">
        <is>
          <t>Rent — Source</t>
        </is>
      </c>
      <c r="C42" s="34" t="inlineStr">
        <is>
          <t>Joe override: $2,500 (HUD FMR FY2026 would be $1,670)</t>
        </is>
      </c>
      <c r="D42" s="28" t="inlineStr">
        <is>
          <t>HUD FMR / SAFMR / RentCast / override.</t>
        </is>
      </c>
    </row>
    <row r="43">
      <c r="B43" s="2" t="inlineStr">
        <is>
          <t>Market Rent (open-market comp)</t>
        </is>
      </c>
      <c r="C43" s="31" t="n">
        <v>2300</v>
      </c>
      <c r="D43" s="28" t="inlineStr">
        <is>
          <t>Informational only; for variance check vs underwriting rent.</t>
        </is>
      </c>
    </row>
    <row r="44">
      <c r="B44" s="33" t="inlineStr">
        <is>
          <t>Market Rent — Source</t>
        </is>
      </c>
      <c r="C44" s="34" t="inlineStr">
        <is>
          <t>RentCast comparable (fixture mode)</t>
        </is>
      </c>
      <c r="D44" s="28" t="inlineStr">
        <is>
          <t>RentCast / Zillow / manual.</t>
        </is>
      </c>
    </row>
    <row r="45">
      <c r="B45" s="2" t="inlineStr">
        <is>
          <t>Annual Rent Growth</t>
        </is>
      </c>
      <c r="C45" s="35" t="n">
        <v>0.04</v>
      </c>
      <c r="D45" s="28" t="inlineStr">
        <is>
          <t>Section 8 follows HUD reset; 3% historical.</t>
        </is>
      </c>
    </row>
    <row r="46">
      <c r="B46" s="2" t="inlineStr">
        <is>
          <t>Vacancy Rate</t>
        </is>
      </c>
      <c r="C46" s="35" t="n">
        <v>0.04</v>
      </c>
      <c r="D46" s="28" t="inlineStr">
        <is>
          <t>Section 8 typically lower than market.</t>
        </is>
      </c>
    </row>
    <row r="48">
      <c r="B48" s="5" t="inlineStr">
        <is>
          <t>Operating — Variable Expenses (% of gross rent)</t>
        </is>
      </c>
      <c r="C48" s="6" t="n"/>
      <c r="D48" s="6" t="n"/>
    </row>
    <row r="49">
      <c r="B49" s="2" t="inlineStr">
        <is>
          <t>Management Fee</t>
        </is>
      </c>
      <c r="C49" s="35" t="n">
        <v>0.1</v>
      </c>
    </row>
    <row r="50">
      <c r="B50" s="2" t="inlineStr">
        <is>
          <t>Maintenance Reserve</t>
        </is>
      </c>
      <c r="C50" s="35" t="n">
        <v>0.04</v>
      </c>
    </row>
    <row r="51">
      <c r="B51" s="2" t="inlineStr">
        <is>
          <t>CapEx Reserve</t>
        </is>
      </c>
      <c r="C51" s="35" t="n">
        <v>0</v>
      </c>
    </row>
    <row r="53">
      <c r="B53" s="5" t="inlineStr">
        <is>
          <t>Operating — Fixed Expenses (annual $)</t>
        </is>
      </c>
      <c r="C53" s="6" t="n"/>
      <c r="D53" s="6" t="n"/>
    </row>
    <row r="54">
      <c r="B54" s="2" t="inlineStr">
        <is>
          <t>Property Tax (annual)</t>
        </is>
      </c>
      <c r="C54" s="31" t="n">
        <v>3249</v>
      </c>
    </row>
    <row r="55">
      <c r="B55" s="33" t="inlineStr">
        <is>
          <t>Property Tax — Source</t>
        </is>
      </c>
      <c r="C55" s="34" t="inlineStr">
        <is>
          <t>Joe override: $3,249</t>
        </is>
      </c>
      <c r="D55" s="28" t="inlineStr">
        <is>
          <t>WPRDC × 1.10 / Realtor / county assessor.</t>
        </is>
      </c>
    </row>
    <row r="56">
      <c r="B56" s="2" t="inlineStr">
        <is>
          <t>Insurance (annual)</t>
        </is>
      </c>
      <c r="C56" s="31" t="n">
        <v>1020</v>
      </c>
    </row>
    <row r="57">
      <c r="B57" s="33" t="inlineStr">
        <is>
          <t>Insurance — Source</t>
        </is>
      </c>
      <c r="C57" s="34" t="inlineStr">
        <is>
          <t>Manual estimate: $85/mo × 12</t>
        </is>
      </c>
      <c r="D57" s="28" t="inlineStr">
        <is>
          <t>Quote / industry default / override.</t>
        </is>
      </c>
    </row>
    <row r="58">
      <c r="B58" s="2" t="inlineStr">
        <is>
          <t>Utilities (annual)</t>
        </is>
      </c>
      <c r="C58" s="31" t="n">
        <v>0</v>
      </c>
      <c r="D58" s="28" t="inlineStr">
        <is>
          <t>Section 8: often tenant-paid; leave 0.</t>
        </is>
      </c>
    </row>
    <row r="59">
      <c r="B59" s="2" t="inlineStr">
        <is>
          <t>HOA / Other (annual)</t>
        </is>
      </c>
      <c r="C59" s="31" t="n">
        <v>0</v>
      </c>
    </row>
    <row r="60">
      <c r="B60" s="2" t="inlineStr">
        <is>
          <t>Expense Growth Rate</t>
        </is>
      </c>
      <c r="C60" s="35" t="n">
        <v>0</v>
      </c>
      <c r="D60" s="28" t="inlineStr">
        <is>
          <t>Property tax + insurance escalator.</t>
        </is>
      </c>
    </row>
    <row r="62">
      <c r="B62" s="5" t="inlineStr">
        <is>
          <t>Exit &amp; Appreciation</t>
        </is>
      </c>
      <c r="C62" s="6" t="n"/>
      <c r="D62" s="6" t="n"/>
    </row>
    <row r="63">
      <c r="B63" s="2" t="inlineStr">
        <is>
          <t>Hold Period (yrs)</t>
        </is>
      </c>
      <c r="C63" s="31" t="n">
        <v>10</v>
      </c>
    </row>
    <row r="64">
      <c r="B64" s="2" t="inlineStr">
        <is>
          <t>Exit Cap Rate</t>
        </is>
      </c>
      <c r="C64" s="36" t="n">
        <v>0.08</v>
      </c>
    </row>
    <row r="65">
      <c r="B65" s="2" t="inlineStr">
        <is>
          <t>Cost of Sale (% of price)</t>
        </is>
      </c>
      <c r="C65" s="35" t="n">
        <v>0.01</v>
      </c>
    </row>
    <row r="66">
      <c r="B66" s="2" t="inlineStr">
        <is>
          <t>Annual Appreciation</t>
        </is>
      </c>
      <c r="C66" s="35" t="n">
        <v>0.05</v>
      </c>
      <c r="D66" s="28" t="inlineStr">
        <is>
          <t>Drives Property Value column on Summary forecast.</t>
        </is>
      </c>
    </row>
    <row r="68">
      <c r="B68" s="5" t="inlineStr">
        <is>
          <t>GP / LP Split (Joe's 50/50 post-LP-return)</t>
        </is>
      </c>
      <c r="C68" s="6" t="n"/>
      <c r="D68" s="6" t="n"/>
    </row>
    <row r="69">
      <c r="B69" s="2" t="inlineStr">
        <is>
          <t>LP Share After Capital Returned</t>
        </is>
      </c>
      <c r="C69" s="35" t="n">
        <v>0.5</v>
      </c>
      <c r="D69" s="28" t="inlineStr">
        <is>
          <t>Joe's standard is 50/50 after LP capital is returned.</t>
        </is>
      </c>
    </row>
    <row r="71">
      <c r="B71" s="5" t="inlineStr">
        <is>
          <t>Decision Thresholds</t>
        </is>
      </c>
      <c r="C71" s="6" t="n"/>
      <c r="D71" s="6" t="n"/>
    </row>
    <row r="72">
      <c r="B72" s="2" t="inlineStr">
        <is>
          <t>Min Cap Rate</t>
        </is>
      </c>
      <c r="C72" s="35" t="n">
        <v>0.08</v>
      </c>
    </row>
    <row r="73">
      <c r="B73" s="2" t="inlineStr">
        <is>
          <t>Min Cash-on-Cash</t>
        </is>
      </c>
      <c r="C73" s="35" t="n">
        <v>0.1</v>
      </c>
    </row>
    <row r="74">
      <c r="B74" s="2" t="inlineStr">
        <is>
          <t>Min DSCR</t>
        </is>
      </c>
      <c r="C74" s="47" t="n">
        <v>1.25</v>
      </c>
    </row>
    <row r="75">
      <c r="B75" s="2" t="inlineStr">
        <is>
          <t>Min Levered IRR</t>
        </is>
      </c>
      <c r="C75" s="35" t="n">
        <v>0.15</v>
      </c>
    </row>
    <row r="76">
      <c r="B76" s="2" t="inlineStr">
        <is>
          <t>Max Price / ARV</t>
        </is>
      </c>
      <c r="C76" s="35" t="n">
        <v>0.75</v>
      </c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&amp;LInputs&amp;CConfidential&amp;RPage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R48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B1" s="1" t="inlineStr">
        <is>
          <t>Cashflow</t>
        </is>
      </c>
    </row>
    <row r="4">
      <c r="B4" s="22" t="inlineStr">
        <is>
          <t>Year</t>
        </is>
      </c>
      <c r="C4" s="38" t="n">
        <v>0</v>
      </c>
      <c r="D4" s="38" t="n">
        <v>1</v>
      </c>
      <c r="E4" s="38" t="n">
        <v>2</v>
      </c>
      <c r="F4" s="38" t="n">
        <v>3</v>
      </c>
      <c r="G4" s="38" t="n">
        <v>4</v>
      </c>
      <c r="H4" s="38" t="n">
        <v>5</v>
      </c>
      <c r="I4" s="38" t="n">
        <v>6</v>
      </c>
      <c r="J4" s="38" t="n">
        <v>7</v>
      </c>
      <c r="K4" s="38" t="n">
        <v>8</v>
      </c>
      <c r="L4" s="38" t="n">
        <v>9</v>
      </c>
      <c r="M4" s="38" t="n">
        <v>10</v>
      </c>
      <c r="N4" s="38" t="n">
        <v>11</v>
      </c>
      <c r="O4" s="38" t="n">
        <v>12</v>
      </c>
      <c r="P4" s="38" t="n">
        <v>13</v>
      </c>
      <c r="Q4" s="38" t="n">
        <v>14</v>
      </c>
      <c r="R4" s="38" t="n">
        <v>15</v>
      </c>
    </row>
    <row r="6">
      <c r="B6" s="5" t="inlineStr">
        <is>
          <t>Revenue</t>
        </is>
      </c>
    </row>
    <row r="7">
      <c r="B7" s="2" t="inlineStr">
        <is>
          <t>Gross Rent</t>
        </is>
      </c>
      <c r="C7" s="39">
        <f>IF(OR(C$4&lt;1,C$4&gt;hold_period_yrs),0,monthly_rent*12*(1+rent_growth)^(C$4-1))</f>
        <v/>
      </c>
      <c r="D7" s="39">
        <f>IF(OR(D$4&lt;1,D$4&gt;hold_period_yrs),0,monthly_rent*12*(1+rent_growth)^(D$4-1))</f>
        <v/>
      </c>
      <c r="E7" s="39">
        <f>IF(OR(E$4&lt;1,E$4&gt;hold_period_yrs),0,monthly_rent*12*(1+rent_growth)^(E$4-1))</f>
        <v/>
      </c>
      <c r="F7" s="39">
        <f>IF(OR(F$4&lt;1,F$4&gt;hold_period_yrs),0,monthly_rent*12*(1+rent_growth)^(F$4-1))</f>
        <v/>
      </c>
      <c r="G7" s="39">
        <f>IF(OR(G$4&lt;1,G$4&gt;hold_period_yrs),0,monthly_rent*12*(1+rent_growth)^(G$4-1))</f>
        <v/>
      </c>
      <c r="H7" s="39">
        <f>IF(OR(H$4&lt;1,H$4&gt;hold_period_yrs),0,monthly_rent*12*(1+rent_growth)^(H$4-1))</f>
        <v/>
      </c>
      <c r="I7" s="39">
        <f>IF(OR(I$4&lt;1,I$4&gt;hold_period_yrs),0,monthly_rent*12*(1+rent_growth)^(I$4-1))</f>
        <v/>
      </c>
      <c r="J7" s="39">
        <f>IF(OR(J$4&lt;1,J$4&gt;hold_period_yrs),0,monthly_rent*12*(1+rent_growth)^(J$4-1))</f>
        <v/>
      </c>
      <c r="K7" s="39">
        <f>IF(OR(K$4&lt;1,K$4&gt;hold_period_yrs),0,monthly_rent*12*(1+rent_growth)^(K$4-1))</f>
        <v/>
      </c>
      <c r="L7" s="39">
        <f>IF(OR(L$4&lt;1,L$4&gt;hold_period_yrs),0,monthly_rent*12*(1+rent_growth)^(L$4-1))</f>
        <v/>
      </c>
      <c r="M7" s="39">
        <f>IF(OR(M$4&lt;1,M$4&gt;hold_period_yrs),0,monthly_rent*12*(1+rent_growth)^(M$4-1))</f>
        <v/>
      </c>
      <c r="N7" s="39">
        <f>IF(OR(N$4&lt;1,N$4&gt;hold_period_yrs),0,monthly_rent*12*(1+rent_growth)^(N$4-1))</f>
        <v/>
      </c>
      <c r="O7" s="39">
        <f>IF(OR(O$4&lt;1,O$4&gt;hold_period_yrs),0,monthly_rent*12*(1+rent_growth)^(O$4-1))</f>
        <v/>
      </c>
      <c r="P7" s="39">
        <f>IF(OR(P$4&lt;1,P$4&gt;hold_period_yrs),0,monthly_rent*12*(1+rent_growth)^(P$4-1))</f>
        <v/>
      </c>
      <c r="Q7" s="39">
        <f>IF(OR(Q$4&lt;1,Q$4&gt;hold_period_yrs),0,monthly_rent*12*(1+rent_growth)^(Q$4-1))</f>
        <v/>
      </c>
      <c r="R7" s="39">
        <f>IF(OR(R$4&lt;1,R$4&gt;hold_period_yrs),0,monthly_rent*12*(1+rent_growth)^(R$4-1))</f>
        <v/>
      </c>
    </row>
    <row r="8">
      <c r="B8" s="2" t="inlineStr">
        <is>
          <t>Vacancy Loss</t>
        </is>
      </c>
      <c r="C8" s="39">
        <f>IF(OR(C$4&lt;1,C$4&gt;hold_period_yrs),0,-C7*vacancy_rate)</f>
        <v/>
      </c>
      <c r="D8" s="39">
        <f>IF(OR(D$4&lt;1,D$4&gt;hold_period_yrs),0,-D7*vacancy_rate)</f>
        <v/>
      </c>
      <c r="E8" s="39">
        <f>IF(OR(E$4&lt;1,E$4&gt;hold_period_yrs),0,-E7*vacancy_rate)</f>
        <v/>
      </c>
      <c r="F8" s="39">
        <f>IF(OR(F$4&lt;1,F$4&gt;hold_period_yrs),0,-F7*vacancy_rate)</f>
        <v/>
      </c>
      <c r="G8" s="39">
        <f>IF(OR(G$4&lt;1,G$4&gt;hold_period_yrs),0,-G7*vacancy_rate)</f>
        <v/>
      </c>
      <c r="H8" s="39">
        <f>IF(OR(H$4&lt;1,H$4&gt;hold_period_yrs),0,-H7*vacancy_rate)</f>
        <v/>
      </c>
      <c r="I8" s="39">
        <f>IF(OR(I$4&lt;1,I$4&gt;hold_period_yrs),0,-I7*vacancy_rate)</f>
        <v/>
      </c>
      <c r="J8" s="39">
        <f>IF(OR(J$4&lt;1,J$4&gt;hold_period_yrs),0,-J7*vacancy_rate)</f>
        <v/>
      </c>
      <c r="K8" s="39">
        <f>IF(OR(K$4&lt;1,K$4&gt;hold_period_yrs),0,-K7*vacancy_rate)</f>
        <v/>
      </c>
      <c r="L8" s="39">
        <f>IF(OR(L$4&lt;1,L$4&gt;hold_period_yrs),0,-L7*vacancy_rate)</f>
        <v/>
      </c>
      <c r="M8" s="39">
        <f>IF(OR(M$4&lt;1,M$4&gt;hold_period_yrs),0,-M7*vacancy_rate)</f>
        <v/>
      </c>
      <c r="N8" s="39">
        <f>IF(OR(N$4&lt;1,N$4&gt;hold_period_yrs),0,-N7*vacancy_rate)</f>
        <v/>
      </c>
      <c r="O8" s="39">
        <f>IF(OR(O$4&lt;1,O$4&gt;hold_period_yrs),0,-O7*vacancy_rate)</f>
        <v/>
      </c>
      <c r="P8" s="39">
        <f>IF(OR(P$4&lt;1,P$4&gt;hold_period_yrs),0,-P7*vacancy_rate)</f>
        <v/>
      </c>
      <c r="Q8" s="39">
        <f>IF(OR(Q$4&lt;1,Q$4&gt;hold_period_yrs),0,-Q7*vacancy_rate)</f>
        <v/>
      </c>
      <c r="R8" s="39">
        <f>IF(OR(R$4&lt;1,R$4&gt;hold_period_yrs),0,-R7*vacancy_rate)</f>
        <v/>
      </c>
    </row>
    <row r="9">
      <c r="B9" s="20" t="inlineStr">
        <is>
          <t>Effective Gross Income</t>
        </is>
      </c>
      <c r="C9" s="16">
        <f>IF(OR(C$4&lt;1,C$4&gt;hold_period_yrs),0,C7+C8)</f>
        <v/>
      </c>
      <c r="D9" s="16">
        <f>IF(OR(D$4&lt;1,D$4&gt;hold_period_yrs),0,D7+D8)</f>
        <v/>
      </c>
      <c r="E9" s="16">
        <f>IF(OR(E$4&lt;1,E$4&gt;hold_period_yrs),0,E7+E8)</f>
        <v/>
      </c>
      <c r="F9" s="16">
        <f>IF(OR(F$4&lt;1,F$4&gt;hold_period_yrs),0,F7+F8)</f>
        <v/>
      </c>
      <c r="G9" s="16">
        <f>IF(OR(G$4&lt;1,G$4&gt;hold_period_yrs),0,G7+G8)</f>
        <v/>
      </c>
      <c r="H9" s="16">
        <f>IF(OR(H$4&lt;1,H$4&gt;hold_period_yrs),0,H7+H8)</f>
        <v/>
      </c>
      <c r="I9" s="16">
        <f>IF(OR(I$4&lt;1,I$4&gt;hold_period_yrs),0,I7+I8)</f>
        <v/>
      </c>
      <c r="J9" s="16">
        <f>IF(OR(J$4&lt;1,J$4&gt;hold_period_yrs),0,J7+J8)</f>
        <v/>
      </c>
      <c r="K9" s="16">
        <f>IF(OR(K$4&lt;1,K$4&gt;hold_period_yrs),0,K7+K8)</f>
        <v/>
      </c>
      <c r="L9" s="16">
        <f>IF(OR(L$4&lt;1,L$4&gt;hold_period_yrs),0,L7+L8)</f>
        <v/>
      </c>
      <c r="M9" s="16">
        <f>IF(OR(M$4&lt;1,M$4&gt;hold_period_yrs),0,M7+M8)</f>
        <v/>
      </c>
      <c r="N9" s="16">
        <f>IF(OR(N$4&lt;1,N$4&gt;hold_period_yrs),0,N7+N8)</f>
        <v/>
      </c>
      <c r="O9" s="16">
        <f>IF(OR(O$4&lt;1,O$4&gt;hold_period_yrs),0,O7+O8)</f>
        <v/>
      </c>
      <c r="P9" s="16">
        <f>IF(OR(P$4&lt;1,P$4&gt;hold_period_yrs),0,P7+P8)</f>
        <v/>
      </c>
      <c r="Q9" s="16">
        <f>IF(OR(Q$4&lt;1,Q$4&gt;hold_period_yrs),0,Q7+Q8)</f>
        <v/>
      </c>
      <c r="R9" s="16">
        <f>IF(OR(R$4&lt;1,R$4&gt;hold_period_yrs),0,R7+R8)</f>
        <v/>
      </c>
    </row>
    <row r="11">
      <c r="B11" s="5" t="inlineStr">
        <is>
          <t>Operating Expenses — Variable</t>
        </is>
      </c>
    </row>
    <row r="12">
      <c r="B12" s="2" t="inlineStr">
        <is>
          <t>Management</t>
        </is>
      </c>
      <c r="C12" s="39">
        <f>IF(OR(C$4&lt;1,C$4&gt;hold_period_yrs),0,-C7*management_pct)</f>
        <v/>
      </c>
      <c r="D12" s="39">
        <f>IF(OR(D$4&lt;1,D$4&gt;hold_period_yrs),0,-D7*management_pct)</f>
        <v/>
      </c>
      <c r="E12" s="39">
        <f>IF(OR(E$4&lt;1,E$4&gt;hold_period_yrs),0,-E7*management_pct)</f>
        <v/>
      </c>
      <c r="F12" s="39">
        <f>IF(OR(F$4&lt;1,F$4&gt;hold_period_yrs),0,-F7*management_pct)</f>
        <v/>
      </c>
      <c r="G12" s="39">
        <f>IF(OR(G$4&lt;1,G$4&gt;hold_period_yrs),0,-G7*management_pct)</f>
        <v/>
      </c>
      <c r="H12" s="39">
        <f>IF(OR(H$4&lt;1,H$4&gt;hold_period_yrs),0,-H7*management_pct)</f>
        <v/>
      </c>
      <c r="I12" s="39">
        <f>IF(OR(I$4&lt;1,I$4&gt;hold_period_yrs),0,-I7*management_pct)</f>
        <v/>
      </c>
      <c r="J12" s="39">
        <f>IF(OR(J$4&lt;1,J$4&gt;hold_period_yrs),0,-J7*management_pct)</f>
        <v/>
      </c>
      <c r="K12" s="39">
        <f>IF(OR(K$4&lt;1,K$4&gt;hold_period_yrs),0,-K7*management_pct)</f>
        <v/>
      </c>
      <c r="L12" s="39">
        <f>IF(OR(L$4&lt;1,L$4&gt;hold_period_yrs),0,-L7*management_pct)</f>
        <v/>
      </c>
      <c r="M12" s="39">
        <f>IF(OR(M$4&lt;1,M$4&gt;hold_period_yrs),0,-M7*management_pct)</f>
        <v/>
      </c>
      <c r="N12" s="39">
        <f>IF(OR(N$4&lt;1,N$4&gt;hold_period_yrs),0,-N7*management_pct)</f>
        <v/>
      </c>
      <c r="O12" s="39">
        <f>IF(OR(O$4&lt;1,O$4&gt;hold_period_yrs),0,-O7*management_pct)</f>
        <v/>
      </c>
      <c r="P12" s="39">
        <f>IF(OR(P$4&lt;1,P$4&gt;hold_period_yrs),0,-P7*management_pct)</f>
        <v/>
      </c>
      <c r="Q12" s="39">
        <f>IF(OR(Q$4&lt;1,Q$4&gt;hold_period_yrs),0,-Q7*management_pct)</f>
        <v/>
      </c>
      <c r="R12" s="39">
        <f>IF(OR(R$4&lt;1,R$4&gt;hold_period_yrs),0,-R7*management_pct)</f>
        <v/>
      </c>
    </row>
    <row r="13">
      <c r="B13" s="2" t="inlineStr">
        <is>
          <t>Maintenance</t>
        </is>
      </c>
      <c r="C13" s="39">
        <f>IF(OR(C$4&lt;1,C$4&gt;hold_period_yrs),0,-C7*maintenance_pct)</f>
        <v/>
      </c>
      <c r="D13" s="39">
        <f>IF(OR(D$4&lt;1,D$4&gt;hold_period_yrs),0,-D7*maintenance_pct)</f>
        <v/>
      </c>
      <c r="E13" s="39">
        <f>IF(OR(E$4&lt;1,E$4&gt;hold_period_yrs),0,-E7*maintenance_pct)</f>
        <v/>
      </c>
      <c r="F13" s="39">
        <f>IF(OR(F$4&lt;1,F$4&gt;hold_period_yrs),0,-F7*maintenance_pct)</f>
        <v/>
      </c>
      <c r="G13" s="39">
        <f>IF(OR(G$4&lt;1,G$4&gt;hold_period_yrs),0,-G7*maintenance_pct)</f>
        <v/>
      </c>
      <c r="H13" s="39">
        <f>IF(OR(H$4&lt;1,H$4&gt;hold_period_yrs),0,-H7*maintenance_pct)</f>
        <v/>
      </c>
      <c r="I13" s="39">
        <f>IF(OR(I$4&lt;1,I$4&gt;hold_period_yrs),0,-I7*maintenance_pct)</f>
        <v/>
      </c>
      <c r="J13" s="39">
        <f>IF(OR(J$4&lt;1,J$4&gt;hold_period_yrs),0,-J7*maintenance_pct)</f>
        <v/>
      </c>
      <c r="K13" s="39">
        <f>IF(OR(K$4&lt;1,K$4&gt;hold_period_yrs),0,-K7*maintenance_pct)</f>
        <v/>
      </c>
      <c r="L13" s="39">
        <f>IF(OR(L$4&lt;1,L$4&gt;hold_period_yrs),0,-L7*maintenance_pct)</f>
        <v/>
      </c>
      <c r="M13" s="39">
        <f>IF(OR(M$4&lt;1,M$4&gt;hold_period_yrs),0,-M7*maintenance_pct)</f>
        <v/>
      </c>
      <c r="N13" s="39">
        <f>IF(OR(N$4&lt;1,N$4&gt;hold_period_yrs),0,-N7*maintenance_pct)</f>
        <v/>
      </c>
      <c r="O13" s="39">
        <f>IF(OR(O$4&lt;1,O$4&gt;hold_period_yrs),0,-O7*maintenance_pct)</f>
        <v/>
      </c>
      <c r="P13" s="39">
        <f>IF(OR(P$4&lt;1,P$4&gt;hold_period_yrs),0,-P7*maintenance_pct)</f>
        <v/>
      </c>
      <c r="Q13" s="39">
        <f>IF(OR(Q$4&lt;1,Q$4&gt;hold_period_yrs),0,-Q7*maintenance_pct)</f>
        <v/>
      </c>
      <c r="R13" s="39">
        <f>IF(OR(R$4&lt;1,R$4&gt;hold_period_yrs),0,-R7*maintenance_pct)</f>
        <v/>
      </c>
    </row>
    <row r="14">
      <c r="B14" s="2" t="inlineStr">
        <is>
          <t>CapEx Reserve</t>
        </is>
      </c>
      <c r="C14" s="39">
        <f>IF(OR(C$4&lt;1,C$4&gt;hold_period_yrs),0,-C7*capex_reserve_pct)</f>
        <v/>
      </c>
      <c r="D14" s="39">
        <f>IF(OR(D$4&lt;1,D$4&gt;hold_period_yrs),0,-D7*capex_reserve_pct)</f>
        <v/>
      </c>
      <c r="E14" s="39">
        <f>IF(OR(E$4&lt;1,E$4&gt;hold_period_yrs),0,-E7*capex_reserve_pct)</f>
        <v/>
      </c>
      <c r="F14" s="39">
        <f>IF(OR(F$4&lt;1,F$4&gt;hold_period_yrs),0,-F7*capex_reserve_pct)</f>
        <v/>
      </c>
      <c r="G14" s="39">
        <f>IF(OR(G$4&lt;1,G$4&gt;hold_period_yrs),0,-G7*capex_reserve_pct)</f>
        <v/>
      </c>
      <c r="H14" s="39">
        <f>IF(OR(H$4&lt;1,H$4&gt;hold_period_yrs),0,-H7*capex_reserve_pct)</f>
        <v/>
      </c>
      <c r="I14" s="39">
        <f>IF(OR(I$4&lt;1,I$4&gt;hold_period_yrs),0,-I7*capex_reserve_pct)</f>
        <v/>
      </c>
      <c r="J14" s="39">
        <f>IF(OR(J$4&lt;1,J$4&gt;hold_period_yrs),0,-J7*capex_reserve_pct)</f>
        <v/>
      </c>
      <c r="K14" s="39">
        <f>IF(OR(K$4&lt;1,K$4&gt;hold_period_yrs),0,-K7*capex_reserve_pct)</f>
        <v/>
      </c>
      <c r="L14" s="39">
        <f>IF(OR(L$4&lt;1,L$4&gt;hold_period_yrs),0,-L7*capex_reserve_pct)</f>
        <v/>
      </c>
      <c r="M14" s="39">
        <f>IF(OR(M$4&lt;1,M$4&gt;hold_period_yrs),0,-M7*capex_reserve_pct)</f>
        <v/>
      </c>
      <c r="N14" s="39">
        <f>IF(OR(N$4&lt;1,N$4&gt;hold_period_yrs),0,-N7*capex_reserve_pct)</f>
        <v/>
      </c>
      <c r="O14" s="39">
        <f>IF(OR(O$4&lt;1,O$4&gt;hold_period_yrs),0,-O7*capex_reserve_pct)</f>
        <v/>
      </c>
      <c r="P14" s="39">
        <f>IF(OR(P$4&lt;1,P$4&gt;hold_period_yrs),0,-P7*capex_reserve_pct)</f>
        <v/>
      </c>
      <c r="Q14" s="39">
        <f>IF(OR(Q$4&lt;1,Q$4&gt;hold_period_yrs),0,-Q7*capex_reserve_pct)</f>
        <v/>
      </c>
      <c r="R14" s="39">
        <f>IF(OR(R$4&lt;1,R$4&gt;hold_period_yrs),0,-R7*capex_reserve_pct)</f>
        <v/>
      </c>
    </row>
    <row r="16">
      <c r="B16" s="5" t="inlineStr">
        <is>
          <t>Operating Expenses — Fixed</t>
        </is>
      </c>
    </row>
    <row r="17">
      <c r="B17" s="2" t="inlineStr">
        <is>
          <t>Property Tax</t>
        </is>
      </c>
      <c r="C17" s="39">
        <f>IF(OR(C$4&lt;1,C$4&gt;hold_period_yrs),0,-property_tax_annual*(1+expense_growth)^(C$4-1))</f>
        <v/>
      </c>
      <c r="D17" s="39">
        <f>IF(OR(D$4&lt;1,D$4&gt;hold_period_yrs),0,-property_tax_annual*(1+expense_growth)^(D$4-1))</f>
        <v/>
      </c>
      <c r="E17" s="39">
        <f>IF(OR(E$4&lt;1,E$4&gt;hold_period_yrs),0,-property_tax_annual*(1+expense_growth)^(E$4-1))</f>
        <v/>
      </c>
      <c r="F17" s="39">
        <f>IF(OR(F$4&lt;1,F$4&gt;hold_period_yrs),0,-property_tax_annual*(1+expense_growth)^(F$4-1))</f>
        <v/>
      </c>
      <c r="G17" s="39">
        <f>IF(OR(G$4&lt;1,G$4&gt;hold_period_yrs),0,-property_tax_annual*(1+expense_growth)^(G$4-1))</f>
        <v/>
      </c>
      <c r="H17" s="39">
        <f>IF(OR(H$4&lt;1,H$4&gt;hold_period_yrs),0,-property_tax_annual*(1+expense_growth)^(H$4-1))</f>
        <v/>
      </c>
      <c r="I17" s="39">
        <f>IF(OR(I$4&lt;1,I$4&gt;hold_period_yrs),0,-property_tax_annual*(1+expense_growth)^(I$4-1))</f>
        <v/>
      </c>
      <c r="J17" s="39">
        <f>IF(OR(J$4&lt;1,J$4&gt;hold_period_yrs),0,-property_tax_annual*(1+expense_growth)^(J$4-1))</f>
        <v/>
      </c>
      <c r="K17" s="39">
        <f>IF(OR(K$4&lt;1,K$4&gt;hold_period_yrs),0,-property_tax_annual*(1+expense_growth)^(K$4-1))</f>
        <v/>
      </c>
      <c r="L17" s="39">
        <f>IF(OR(L$4&lt;1,L$4&gt;hold_period_yrs),0,-property_tax_annual*(1+expense_growth)^(L$4-1))</f>
        <v/>
      </c>
      <c r="M17" s="39">
        <f>IF(OR(M$4&lt;1,M$4&gt;hold_period_yrs),0,-property_tax_annual*(1+expense_growth)^(M$4-1))</f>
        <v/>
      </c>
      <c r="N17" s="39">
        <f>IF(OR(N$4&lt;1,N$4&gt;hold_period_yrs),0,-property_tax_annual*(1+expense_growth)^(N$4-1))</f>
        <v/>
      </c>
      <c r="O17" s="39">
        <f>IF(OR(O$4&lt;1,O$4&gt;hold_period_yrs),0,-property_tax_annual*(1+expense_growth)^(O$4-1))</f>
        <v/>
      </c>
      <c r="P17" s="39">
        <f>IF(OR(P$4&lt;1,P$4&gt;hold_period_yrs),0,-property_tax_annual*(1+expense_growth)^(P$4-1))</f>
        <v/>
      </c>
      <c r="Q17" s="39">
        <f>IF(OR(Q$4&lt;1,Q$4&gt;hold_period_yrs),0,-property_tax_annual*(1+expense_growth)^(Q$4-1))</f>
        <v/>
      </c>
      <c r="R17" s="39">
        <f>IF(OR(R$4&lt;1,R$4&gt;hold_period_yrs),0,-property_tax_annual*(1+expense_growth)^(R$4-1))</f>
        <v/>
      </c>
    </row>
    <row r="18">
      <c r="B18" s="2" t="inlineStr">
        <is>
          <t>Insurance</t>
        </is>
      </c>
      <c r="C18" s="39">
        <f>IF(OR(C$4&lt;1,C$4&gt;hold_period_yrs),0,-insurance_annual*(1+expense_growth)^(C$4-1))</f>
        <v/>
      </c>
      <c r="D18" s="39">
        <f>IF(OR(D$4&lt;1,D$4&gt;hold_period_yrs),0,-insurance_annual*(1+expense_growth)^(D$4-1))</f>
        <v/>
      </c>
      <c r="E18" s="39">
        <f>IF(OR(E$4&lt;1,E$4&gt;hold_period_yrs),0,-insurance_annual*(1+expense_growth)^(E$4-1))</f>
        <v/>
      </c>
      <c r="F18" s="39">
        <f>IF(OR(F$4&lt;1,F$4&gt;hold_period_yrs),0,-insurance_annual*(1+expense_growth)^(F$4-1))</f>
        <v/>
      </c>
      <c r="G18" s="39">
        <f>IF(OR(G$4&lt;1,G$4&gt;hold_period_yrs),0,-insurance_annual*(1+expense_growth)^(G$4-1))</f>
        <v/>
      </c>
      <c r="H18" s="39">
        <f>IF(OR(H$4&lt;1,H$4&gt;hold_period_yrs),0,-insurance_annual*(1+expense_growth)^(H$4-1))</f>
        <v/>
      </c>
      <c r="I18" s="39">
        <f>IF(OR(I$4&lt;1,I$4&gt;hold_period_yrs),0,-insurance_annual*(1+expense_growth)^(I$4-1))</f>
        <v/>
      </c>
      <c r="J18" s="39">
        <f>IF(OR(J$4&lt;1,J$4&gt;hold_period_yrs),0,-insurance_annual*(1+expense_growth)^(J$4-1))</f>
        <v/>
      </c>
      <c r="K18" s="39">
        <f>IF(OR(K$4&lt;1,K$4&gt;hold_period_yrs),0,-insurance_annual*(1+expense_growth)^(K$4-1))</f>
        <v/>
      </c>
      <c r="L18" s="39">
        <f>IF(OR(L$4&lt;1,L$4&gt;hold_period_yrs),0,-insurance_annual*(1+expense_growth)^(L$4-1))</f>
        <v/>
      </c>
      <c r="M18" s="39">
        <f>IF(OR(M$4&lt;1,M$4&gt;hold_period_yrs),0,-insurance_annual*(1+expense_growth)^(M$4-1))</f>
        <v/>
      </c>
      <c r="N18" s="39">
        <f>IF(OR(N$4&lt;1,N$4&gt;hold_period_yrs),0,-insurance_annual*(1+expense_growth)^(N$4-1))</f>
        <v/>
      </c>
      <c r="O18" s="39">
        <f>IF(OR(O$4&lt;1,O$4&gt;hold_period_yrs),0,-insurance_annual*(1+expense_growth)^(O$4-1))</f>
        <v/>
      </c>
      <c r="P18" s="39">
        <f>IF(OR(P$4&lt;1,P$4&gt;hold_period_yrs),0,-insurance_annual*(1+expense_growth)^(P$4-1))</f>
        <v/>
      </c>
      <c r="Q18" s="39">
        <f>IF(OR(Q$4&lt;1,Q$4&gt;hold_period_yrs),0,-insurance_annual*(1+expense_growth)^(Q$4-1))</f>
        <v/>
      </c>
      <c r="R18" s="39">
        <f>IF(OR(R$4&lt;1,R$4&gt;hold_period_yrs),0,-insurance_annual*(1+expense_growth)^(R$4-1))</f>
        <v/>
      </c>
    </row>
    <row r="19">
      <c r="B19" s="2" t="inlineStr">
        <is>
          <t>Utilities</t>
        </is>
      </c>
      <c r="C19" s="39">
        <f>IF(OR(C$4&lt;1,C$4&gt;hold_period_yrs),0,-utilities_annual*(1+expense_growth)^(C$4-1))</f>
        <v/>
      </c>
      <c r="D19" s="39">
        <f>IF(OR(D$4&lt;1,D$4&gt;hold_period_yrs),0,-utilities_annual*(1+expense_growth)^(D$4-1))</f>
        <v/>
      </c>
      <c r="E19" s="39">
        <f>IF(OR(E$4&lt;1,E$4&gt;hold_period_yrs),0,-utilities_annual*(1+expense_growth)^(E$4-1))</f>
        <v/>
      </c>
      <c r="F19" s="39">
        <f>IF(OR(F$4&lt;1,F$4&gt;hold_period_yrs),0,-utilities_annual*(1+expense_growth)^(F$4-1))</f>
        <v/>
      </c>
      <c r="G19" s="39">
        <f>IF(OR(G$4&lt;1,G$4&gt;hold_period_yrs),0,-utilities_annual*(1+expense_growth)^(G$4-1))</f>
        <v/>
      </c>
      <c r="H19" s="39">
        <f>IF(OR(H$4&lt;1,H$4&gt;hold_period_yrs),0,-utilities_annual*(1+expense_growth)^(H$4-1))</f>
        <v/>
      </c>
      <c r="I19" s="39">
        <f>IF(OR(I$4&lt;1,I$4&gt;hold_period_yrs),0,-utilities_annual*(1+expense_growth)^(I$4-1))</f>
        <v/>
      </c>
      <c r="J19" s="39">
        <f>IF(OR(J$4&lt;1,J$4&gt;hold_period_yrs),0,-utilities_annual*(1+expense_growth)^(J$4-1))</f>
        <v/>
      </c>
      <c r="K19" s="39">
        <f>IF(OR(K$4&lt;1,K$4&gt;hold_period_yrs),0,-utilities_annual*(1+expense_growth)^(K$4-1))</f>
        <v/>
      </c>
      <c r="L19" s="39">
        <f>IF(OR(L$4&lt;1,L$4&gt;hold_period_yrs),0,-utilities_annual*(1+expense_growth)^(L$4-1))</f>
        <v/>
      </c>
      <c r="M19" s="39">
        <f>IF(OR(M$4&lt;1,M$4&gt;hold_period_yrs),0,-utilities_annual*(1+expense_growth)^(M$4-1))</f>
        <v/>
      </c>
      <c r="N19" s="39">
        <f>IF(OR(N$4&lt;1,N$4&gt;hold_period_yrs),0,-utilities_annual*(1+expense_growth)^(N$4-1))</f>
        <v/>
      </c>
      <c r="O19" s="39">
        <f>IF(OR(O$4&lt;1,O$4&gt;hold_period_yrs),0,-utilities_annual*(1+expense_growth)^(O$4-1))</f>
        <v/>
      </c>
      <c r="P19" s="39">
        <f>IF(OR(P$4&lt;1,P$4&gt;hold_period_yrs),0,-utilities_annual*(1+expense_growth)^(P$4-1))</f>
        <v/>
      </c>
      <c r="Q19" s="39">
        <f>IF(OR(Q$4&lt;1,Q$4&gt;hold_period_yrs),0,-utilities_annual*(1+expense_growth)^(Q$4-1))</f>
        <v/>
      </c>
      <c r="R19" s="39">
        <f>IF(OR(R$4&lt;1,R$4&gt;hold_period_yrs),0,-utilities_annual*(1+expense_growth)^(R$4-1))</f>
        <v/>
      </c>
    </row>
    <row r="20">
      <c r="B20" s="2" t="inlineStr">
        <is>
          <t>HOA / Other</t>
        </is>
      </c>
      <c r="C20" s="39">
        <f>IF(OR(C$4&lt;1,C$4&gt;hold_period_yrs),0,-hoa_annual*(1+expense_growth)^(C$4-1))</f>
        <v/>
      </c>
      <c r="D20" s="39">
        <f>IF(OR(D$4&lt;1,D$4&gt;hold_period_yrs),0,-hoa_annual*(1+expense_growth)^(D$4-1))</f>
        <v/>
      </c>
      <c r="E20" s="39">
        <f>IF(OR(E$4&lt;1,E$4&gt;hold_period_yrs),0,-hoa_annual*(1+expense_growth)^(E$4-1))</f>
        <v/>
      </c>
      <c r="F20" s="39">
        <f>IF(OR(F$4&lt;1,F$4&gt;hold_period_yrs),0,-hoa_annual*(1+expense_growth)^(F$4-1))</f>
        <v/>
      </c>
      <c r="G20" s="39">
        <f>IF(OR(G$4&lt;1,G$4&gt;hold_period_yrs),0,-hoa_annual*(1+expense_growth)^(G$4-1))</f>
        <v/>
      </c>
      <c r="H20" s="39">
        <f>IF(OR(H$4&lt;1,H$4&gt;hold_period_yrs),0,-hoa_annual*(1+expense_growth)^(H$4-1))</f>
        <v/>
      </c>
      <c r="I20" s="39">
        <f>IF(OR(I$4&lt;1,I$4&gt;hold_period_yrs),0,-hoa_annual*(1+expense_growth)^(I$4-1))</f>
        <v/>
      </c>
      <c r="J20" s="39">
        <f>IF(OR(J$4&lt;1,J$4&gt;hold_period_yrs),0,-hoa_annual*(1+expense_growth)^(J$4-1))</f>
        <v/>
      </c>
      <c r="K20" s="39">
        <f>IF(OR(K$4&lt;1,K$4&gt;hold_period_yrs),0,-hoa_annual*(1+expense_growth)^(K$4-1))</f>
        <v/>
      </c>
      <c r="L20" s="39">
        <f>IF(OR(L$4&lt;1,L$4&gt;hold_period_yrs),0,-hoa_annual*(1+expense_growth)^(L$4-1))</f>
        <v/>
      </c>
      <c r="M20" s="39">
        <f>IF(OR(M$4&lt;1,M$4&gt;hold_period_yrs),0,-hoa_annual*(1+expense_growth)^(M$4-1))</f>
        <v/>
      </c>
      <c r="N20" s="39">
        <f>IF(OR(N$4&lt;1,N$4&gt;hold_period_yrs),0,-hoa_annual*(1+expense_growth)^(N$4-1))</f>
        <v/>
      </c>
      <c r="O20" s="39">
        <f>IF(OR(O$4&lt;1,O$4&gt;hold_period_yrs),0,-hoa_annual*(1+expense_growth)^(O$4-1))</f>
        <v/>
      </c>
      <c r="P20" s="39">
        <f>IF(OR(P$4&lt;1,P$4&gt;hold_period_yrs),0,-hoa_annual*(1+expense_growth)^(P$4-1))</f>
        <v/>
      </c>
      <c r="Q20" s="39">
        <f>IF(OR(Q$4&lt;1,Q$4&gt;hold_period_yrs),0,-hoa_annual*(1+expense_growth)^(Q$4-1))</f>
        <v/>
      </c>
      <c r="R20" s="39">
        <f>IF(OR(R$4&lt;1,R$4&gt;hold_period_yrs),0,-hoa_annual*(1+expense_growth)^(R$4-1))</f>
        <v/>
      </c>
    </row>
    <row r="22">
      <c r="B22" s="20" t="inlineStr">
        <is>
          <t>Net Operating Income</t>
        </is>
      </c>
      <c r="C22" s="16">
        <f>IF(OR(C$4&lt;1,C$4&gt;hold_period_yrs),0,C9+C12+C13+C14+C17+C18+C19+C20)</f>
        <v/>
      </c>
      <c r="D22" s="16">
        <f>IF(OR(D$4&lt;1,D$4&gt;hold_period_yrs),0,D9+D12+D13+D14+D17+D18+D19+D20)</f>
        <v/>
      </c>
      <c r="E22" s="16">
        <f>IF(OR(E$4&lt;1,E$4&gt;hold_period_yrs),0,E9+E12+E13+E14+E17+E18+E19+E20)</f>
        <v/>
      </c>
      <c r="F22" s="16">
        <f>IF(OR(F$4&lt;1,F$4&gt;hold_period_yrs),0,F9+F12+F13+F14+F17+F18+F19+F20)</f>
        <v/>
      </c>
      <c r="G22" s="16">
        <f>IF(OR(G$4&lt;1,G$4&gt;hold_period_yrs),0,G9+G12+G13+G14+G17+G18+G19+G20)</f>
        <v/>
      </c>
      <c r="H22" s="16">
        <f>IF(OR(H$4&lt;1,H$4&gt;hold_period_yrs),0,H9+H12+H13+H14+H17+H18+H19+H20)</f>
        <v/>
      </c>
      <c r="I22" s="16">
        <f>IF(OR(I$4&lt;1,I$4&gt;hold_period_yrs),0,I9+I12+I13+I14+I17+I18+I19+I20)</f>
        <v/>
      </c>
      <c r="J22" s="16">
        <f>IF(OR(J$4&lt;1,J$4&gt;hold_period_yrs),0,J9+J12+J13+J14+J17+J18+J19+J20)</f>
        <v/>
      </c>
      <c r="K22" s="16">
        <f>IF(OR(K$4&lt;1,K$4&gt;hold_period_yrs),0,K9+K12+K13+K14+K17+K18+K19+K20)</f>
        <v/>
      </c>
      <c r="L22" s="16">
        <f>IF(OR(L$4&lt;1,L$4&gt;hold_period_yrs),0,L9+L12+L13+L14+L17+L18+L19+L20)</f>
        <v/>
      </c>
      <c r="M22" s="16">
        <f>IF(OR(M$4&lt;1,M$4&gt;hold_period_yrs),0,M9+M12+M13+M14+M17+M18+M19+M20)</f>
        <v/>
      </c>
      <c r="N22" s="16">
        <f>IF(OR(N$4&lt;1,N$4&gt;hold_period_yrs),0,N9+N12+N13+N14+N17+N18+N19+N20)</f>
        <v/>
      </c>
      <c r="O22" s="16">
        <f>IF(OR(O$4&lt;1,O$4&gt;hold_period_yrs),0,O9+O12+O13+O14+O17+O18+O19+O20)</f>
        <v/>
      </c>
      <c r="P22" s="16">
        <f>IF(OR(P$4&lt;1,P$4&gt;hold_period_yrs),0,P9+P12+P13+P14+P17+P18+P19+P20)</f>
        <v/>
      </c>
      <c r="Q22" s="16">
        <f>IF(OR(Q$4&lt;1,Q$4&gt;hold_period_yrs),0,Q9+Q12+Q13+Q14+Q17+Q18+Q19+Q20)</f>
        <v/>
      </c>
      <c r="R22" s="16">
        <f>IF(OR(R$4&lt;1,R$4&gt;hold_period_yrs),0,R9+R12+R13+R14+R17+R18+R19+R20)</f>
        <v/>
      </c>
    </row>
    <row r="24">
      <c r="B24" s="5" t="inlineStr">
        <is>
          <t>Debt Service</t>
        </is>
      </c>
    </row>
    <row r="25">
      <c r="B25" s="2" t="inlineStr">
        <is>
          <t>Active Loan Principal</t>
        </is>
      </c>
      <c r="C25" s="39">
        <f>IF(OR(C$4&lt;1,C$4&gt;hold_period_yrs),0,IF(AND(refi_year&gt;0,C$4&gt;=refi_year),arv*refi_ltv,purchase_price*(1-down_payment_pct)))</f>
        <v/>
      </c>
      <c r="D25" s="39">
        <f>IF(OR(D$4&lt;1,D$4&gt;hold_period_yrs),0,IF(AND(refi_year&gt;0,D$4&gt;=refi_year),arv*refi_ltv,purchase_price*(1-down_payment_pct)))</f>
        <v/>
      </c>
      <c r="E25" s="39">
        <f>IF(OR(E$4&lt;1,E$4&gt;hold_period_yrs),0,IF(AND(refi_year&gt;0,E$4&gt;=refi_year),arv*refi_ltv,purchase_price*(1-down_payment_pct)))</f>
        <v/>
      </c>
      <c r="F25" s="39">
        <f>IF(OR(F$4&lt;1,F$4&gt;hold_period_yrs),0,IF(AND(refi_year&gt;0,F$4&gt;=refi_year),arv*refi_ltv,purchase_price*(1-down_payment_pct)))</f>
        <v/>
      </c>
      <c r="G25" s="39">
        <f>IF(OR(G$4&lt;1,G$4&gt;hold_period_yrs),0,IF(AND(refi_year&gt;0,G$4&gt;=refi_year),arv*refi_ltv,purchase_price*(1-down_payment_pct)))</f>
        <v/>
      </c>
      <c r="H25" s="39">
        <f>IF(OR(H$4&lt;1,H$4&gt;hold_period_yrs),0,IF(AND(refi_year&gt;0,H$4&gt;=refi_year),arv*refi_ltv,purchase_price*(1-down_payment_pct)))</f>
        <v/>
      </c>
      <c r="I25" s="39">
        <f>IF(OR(I$4&lt;1,I$4&gt;hold_period_yrs),0,IF(AND(refi_year&gt;0,I$4&gt;=refi_year),arv*refi_ltv,purchase_price*(1-down_payment_pct)))</f>
        <v/>
      </c>
      <c r="J25" s="39">
        <f>IF(OR(J$4&lt;1,J$4&gt;hold_period_yrs),0,IF(AND(refi_year&gt;0,J$4&gt;=refi_year),arv*refi_ltv,purchase_price*(1-down_payment_pct)))</f>
        <v/>
      </c>
      <c r="K25" s="39">
        <f>IF(OR(K$4&lt;1,K$4&gt;hold_period_yrs),0,IF(AND(refi_year&gt;0,K$4&gt;=refi_year),arv*refi_ltv,purchase_price*(1-down_payment_pct)))</f>
        <v/>
      </c>
      <c r="L25" s="39">
        <f>IF(OR(L$4&lt;1,L$4&gt;hold_period_yrs),0,IF(AND(refi_year&gt;0,L$4&gt;=refi_year),arv*refi_ltv,purchase_price*(1-down_payment_pct)))</f>
        <v/>
      </c>
      <c r="M25" s="39">
        <f>IF(OR(M$4&lt;1,M$4&gt;hold_period_yrs),0,IF(AND(refi_year&gt;0,M$4&gt;=refi_year),arv*refi_ltv,purchase_price*(1-down_payment_pct)))</f>
        <v/>
      </c>
      <c r="N25" s="39">
        <f>IF(OR(N$4&lt;1,N$4&gt;hold_period_yrs),0,IF(AND(refi_year&gt;0,N$4&gt;=refi_year),arv*refi_ltv,purchase_price*(1-down_payment_pct)))</f>
        <v/>
      </c>
      <c r="O25" s="39">
        <f>IF(OR(O$4&lt;1,O$4&gt;hold_period_yrs),0,IF(AND(refi_year&gt;0,O$4&gt;=refi_year),arv*refi_ltv,purchase_price*(1-down_payment_pct)))</f>
        <v/>
      </c>
      <c r="P25" s="39">
        <f>IF(OR(P$4&lt;1,P$4&gt;hold_period_yrs),0,IF(AND(refi_year&gt;0,P$4&gt;=refi_year),arv*refi_ltv,purchase_price*(1-down_payment_pct)))</f>
        <v/>
      </c>
      <c r="Q25" s="39">
        <f>IF(OR(Q$4&lt;1,Q$4&gt;hold_period_yrs),0,IF(AND(refi_year&gt;0,Q$4&gt;=refi_year),arv*refi_ltv,purchase_price*(1-down_payment_pct)))</f>
        <v/>
      </c>
      <c r="R25" s="39">
        <f>IF(OR(R$4&lt;1,R$4&gt;hold_period_yrs),0,IF(AND(refi_year&gt;0,R$4&gt;=refi_year),arv*refi_ltv,purchase_price*(1-down_payment_pct)))</f>
        <v/>
      </c>
    </row>
    <row r="26">
      <c r="B26" s="2" t="inlineStr">
        <is>
          <t>Active Interest Rate</t>
        </is>
      </c>
      <c r="C26" s="40">
        <f>IF(OR(C$4&lt;1,C$4&gt;hold_period_yrs),0,IF(AND(refi_year&gt;0,C$4&gt;=refi_year),refi_interest_rate,interest_rate))</f>
        <v/>
      </c>
      <c r="D26" s="40">
        <f>IF(OR(D$4&lt;1,D$4&gt;hold_period_yrs),0,IF(AND(refi_year&gt;0,D$4&gt;=refi_year),refi_interest_rate,interest_rate))</f>
        <v/>
      </c>
      <c r="E26" s="40">
        <f>IF(OR(E$4&lt;1,E$4&gt;hold_period_yrs),0,IF(AND(refi_year&gt;0,E$4&gt;=refi_year),refi_interest_rate,interest_rate))</f>
        <v/>
      </c>
      <c r="F26" s="40">
        <f>IF(OR(F$4&lt;1,F$4&gt;hold_period_yrs),0,IF(AND(refi_year&gt;0,F$4&gt;=refi_year),refi_interest_rate,interest_rate))</f>
        <v/>
      </c>
      <c r="G26" s="40">
        <f>IF(OR(G$4&lt;1,G$4&gt;hold_period_yrs),0,IF(AND(refi_year&gt;0,G$4&gt;=refi_year),refi_interest_rate,interest_rate))</f>
        <v/>
      </c>
      <c r="H26" s="40">
        <f>IF(OR(H$4&lt;1,H$4&gt;hold_period_yrs),0,IF(AND(refi_year&gt;0,H$4&gt;=refi_year),refi_interest_rate,interest_rate))</f>
        <v/>
      </c>
      <c r="I26" s="40">
        <f>IF(OR(I$4&lt;1,I$4&gt;hold_period_yrs),0,IF(AND(refi_year&gt;0,I$4&gt;=refi_year),refi_interest_rate,interest_rate))</f>
        <v/>
      </c>
      <c r="J26" s="40">
        <f>IF(OR(J$4&lt;1,J$4&gt;hold_period_yrs),0,IF(AND(refi_year&gt;0,J$4&gt;=refi_year),refi_interest_rate,interest_rate))</f>
        <v/>
      </c>
      <c r="K26" s="40">
        <f>IF(OR(K$4&lt;1,K$4&gt;hold_period_yrs),0,IF(AND(refi_year&gt;0,K$4&gt;=refi_year),refi_interest_rate,interest_rate))</f>
        <v/>
      </c>
      <c r="L26" s="40">
        <f>IF(OR(L$4&lt;1,L$4&gt;hold_period_yrs),0,IF(AND(refi_year&gt;0,L$4&gt;=refi_year),refi_interest_rate,interest_rate))</f>
        <v/>
      </c>
      <c r="M26" s="40">
        <f>IF(OR(M$4&lt;1,M$4&gt;hold_period_yrs),0,IF(AND(refi_year&gt;0,M$4&gt;=refi_year),refi_interest_rate,interest_rate))</f>
        <v/>
      </c>
      <c r="N26" s="40">
        <f>IF(OR(N$4&lt;1,N$4&gt;hold_period_yrs),0,IF(AND(refi_year&gt;0,N$4&gt;=refi_year),refi_interest_rate,interest_rate))</f>
        <v/>
      </c>
      <c r="O26" s="40">
        <f>IF(OR(O$4&lt;1,O$4&gt;hold_period_yrs),0,IF(AND(refi_year&gt;0,O$4&gt;=refi_year),refi_interest_rate,interest_rate))</f>
        <v/>
      </c>
      <c r="P26" s="40">
        <f>IF(OR(P$4&lt;1,P$4&gt;hold_period_yrs),0,IF(AND(refi_year&gt;0,P$4&gt;=refi_year),refi_interest_rate,interest_rate))</f>
        <v/>
      </c>
      <c r="Q26" s="40">
        <f>IF(OR(Q$4&lt;1,Q$4&gt;hold_period_yrs),0,IF(AND(refi_year&gt;0,Q$4&gt;=refi_year),refi_interest_rate,interest_rate))</f>
        <v/>
      </c>
      <c r="R26" s="40">
        <f>IF(OR(R$4&lt;1,R$4&gt;hold_period_yrs),0,IF(AND(refi_year&gt;0,R$4&gt;=refi_year),refi_interest_rate,interest_rate))</f>
        <v/>
      </c>
    </row>
    <row r="27">
      <c r="B27" s="2" t="inlineStr">
        <is>
          <t>Active Loan Term (yrs)</t>
        </is>
      </c>
      <c r="C27" s="39">
        <f>IF(OR(C$4&lt;1,C$4&gt;hold_period_yrs),0,IF(AND(refi_year&gt;0,C$4&gt;=refi_year),refi_term_yrs,loan_term_yrs))</f>
        <v/>
      </c>
      <c r="D27" s="39">
        <f>IF(OR(D$4&lt;1,D$4&gt;hold_period_yrs),0,IF(AND(refi_year&gt;0,D$4&gt;=refi_year),refi_term_yrs,loan_term_yrs))</f>
        <v/>
      </c>
      <c r="E27" s="39">
        <f>IF(OR(E$4&lt;1,E$4&gt;hold_period_yrs),0,IF(AND(refi_year&gt;0,E$4&gt;=refi_year),refi_term_yrs,loan_term_yrs))</f>
        <v/>
      </c>
      <c r="F27" s="39">
        <f>IF(OR(F$4&lt;1,F$4&gt;hold_period_yrs),0,IF(AND(refi_year&gt;0,F$4&gt;=refi_year),refi_term_yrs,loan_term_yrs))</f>
        <v/>
      </c>
      <c r="G27" s="39">
        <f>IF(OR(G$4&lt;1,G$4&gt;hold_period_yrs),0,IF(AND(refi_year&gt;0,G$4&gt;=refi_year),refi_term_yrs,loan_term_yrs))</f>
        <v/>
      </c>
      <c r="H27" s="39">
        <f>IF(OR(H$4&lt;1,H$4&gt;hold_period_yrs),0,IF(AND(refi_year&gt;0,H$4&gt;=refi_year),refi_term_yrs,loan_term_yrs))</f>
        <v/>
      </c>
      <c r="I27" s="39">
        <f>IF(OR(I$4&lt;1,I$4&gt;hold_period_yrs),0,IF(AND(refi_year&gt;0,I$4&gt;=refi_year),refi_term_yrs,loan_term_yrs))</f>
        <v/>
      </c>
      <c r="J27" s="39">
        <f>IF(OR(J$4&lt;1,J$4&gt;hold_period_yrs),0,IF(AND(refi_year&gt;0,J$4&gt;=refi_year),refi_term_yrs,loan_term_yrs))</f>
        <v/>
      </c>
      <c r="K27" s="39">
        <f>IF(OR(K$4&lt;1,K$4&gt;hold_period_yrs),0,IF(AND(refi_year&gt;0,K$4&gt;=refi_year),refi_term_yrs,loan_term_yrs))</f>
        <v/>
      </c>
      <c r="L27" s="39">
        <f>IF(OR(L$4&lt;1,L$4&gt;hold_period_yrs),0,IF(AND(refi_year&gt;0,L$4&gt;=refi_year),refi_term_yrs,loan_term_yrs))</f>
        <v/>
      </c>
      <c r="M27" s="39">
        <f>IF(OR(M$4&lt;1,M$4&gt;hold_period_yrs),0,IF(AND(refi_year&gt;0,M$4&gt;=refi_year),refi_term_yrs,loan_term_yrs))</f>
        <v/>
      </c>
      <c r="N27" s="39">
        <f>IF(OR(N$4&lt;1,N$4&gt;hold_period_yrs),0,IF(AND(refi_year&gt;0,N$4&gt;=refi_year),refi_term_yrs,loan_term_yrs))</f>
        <v/>
      </c>
      <c r="O27" s="39">
        <f>IF(OR(O$4&lt;1,O$4&gt;hold_period_yrs),0,IF(AND(refi_year&gt;0,O$4&gt;=refi_year),refi_term_yrs,loan_term_yrs))</f>
        <v/>
      </c>
      <c r="P27" s="39">
        <f>IF(OR(P$4&lt;1,P$4&gt;hold_period_yrs),0,IF(AND(refi_year&gt;0,P$4&gt;=refi_year),refi_term_yrs,loan_term_yrs))</f>
        <v/>
      </c>
      <c r="Q27" s="39">
        <f>IF(OR(Q$4&lt;1,Q$4&gt;hold_period_yrs),0,IF(AND(refi_year&gt;0,Q$4&gt;=refi_year),refi_term_yrs,loan_term_yrs))</f>
        <v/>
      </c>
      <c r="R27" s="39">
        <f>IF(OR(R$4&lt;1,R$4&gt;hold_period_yrs),0,IF(AND(refi_year&gt;0,R$4&gt;=refi_year),refi_term_yrs,loan_term_yrs))</f>
        <v/>
      </c>
    </row>
    <row r="28">
      <c r="B28" s="2" t="inlineStr">
        <is>
          <t>Monthly Payment</t>
        </is>
      </c>
      <c r="C28" s="39">
        <f>IF(OR(C$4&lt;1,C$4&gt;hold_period_yrs),0,IFERROR(-PMT(C26/12,C27*12,C25),0))</f>
        <v/>
      </c>
      <c r="D28" s="39">
        <f>IF(OR(D$4&lt;1,D$4&gt;hold_period_yrs),0,IFERROR(-PMT(D26/12,D27*12,D25),0))</f>
        <v/>
      </c>
      <c r="E28" s="39">
        <f>IF(OR(E$4&lt;1,E$4&gt;hold_period_yrs),0,IFERROR(-PMT(E26/12,E27*12,E25),0))</f>
        <v/>
      </c>
      <c r="F28" s="39">
        <f>IF(OR(F$4&lt;1,F$4&gt;hold_period_yrs),0,IFERROR(-PMT(F26/12,F27*12,F25),0))</f>
        <v/>
      </c>
      <c r="G28" s="39">
        <f>IF(OR(G$4&lt;1,G$4&gt;hold_period_yrs),0,IFERROR(-PMT(G26/12,G27*12,G25),0))</f>
        <v/>
      </c>
      <c r="H28" s="39">
        <f>IF(OR(H$4&lt;1,H$4&gt;hold_period_yrs),0,IFERROR(-PMT(H26/12,H27*12,H25),0))</f>
        <v/>
      </c>
      <c r="I28" s="39">
        <f>IF(OR(I$4&lt;1,I$4&gt;hold_period_yrs),0,IFERROR(-PMT(I26/12,I27*12,I25),0))</f>
        <v/>
      </c>
      <c r="J28" s="39">
        <f>IF(OR(J$4&lt;1,J$4&gt;hold_period_yrs),0,IFERROR(-PMT(J26/12,J27*12,J25),0))</f>
        <v/>
      </c>
      <c r="K28" s="39">
        <f>IF(OR(K$4&lt;1,K$4&gt;hold_period_yrs),0,IFERROR(-PMT(K26/12,K27*12,K25),0))</f>
        <v/>
      </c>
      <c r="L28" s="39">
        <f>IF(OR(L$4&lt;1,L$4&gt;hold_period_yrs),0,IFERROR(-PMT(L26/12,L27*12,L25),0))</f>
        <v/>
      </c>
      <c r="M28" s="39">
        <f>IF(OR(M$4&lt;1,M$4&gt;hold_period_yrs),0,IFERROR(-PMT(M26/12,M27*12,M25),0))</f>
        <v/>
      </c>
      <c r="N28" s="39">
        <f>IF(OR(N$4&lt;1,N$4&gt;hold_period_yrs),0,IFERROR(-PMT(N26/12,N27*12,N25),0))</f>
        <v/>
      </c>
      <c r="O28" s="39">
        <f>IF(OR(O$4&lt;1,O$4&gt;hold_period_yrs),0,IFERROR(-PMT(O26/12,O27*12,O25),0))</f>
        <v/>
      </c>
      <c r="P28" s="39">
        <f>IF(OR(P$4&lt;1,P$4&gt;hold_period_yrs),0,IFERROR(-PMT(P26/12,P27*12,P25),0))</f>
        <v/>
      </c>
      <c r="Q28" s="39">
        <f>IF(OR(Q$4&lt;1,Q$4&gt;hold_period_yrs),0,IFERROR(-PMT(Q26/12,Q27*12,Q25),0))</f>
        <v/>
      </c>
      <c r="R28" s="39">
        <f>IF(OR(R$4&lt;1,R$4&gt;hold_period_yrs),0,IFERROR(-PMT(R26/12,R27*12,R25),0))</f>
        <v/>
      </c>
    </row>
    <row r="29">
      <c r="B29" s="20" t="inlineStr">
        <is>
          <t>Annual Debt Service</t>
        </is>
      </c>
      <c r="C29" s="16">
        <f>IF(OR(C$4&lt;1,C$4&gt;hold_period_yrs),0,-C28*12)</f>
        <v/>
      </c>
      <c r="D29" s="16">
        <f>IF(OR(D$4&lt;1,D$4&gt;hold_period_yrs),0,-D28*12)</f>
        <v/>
      </c>
      <c r="E29" s="16">
        <f>IF(OR(E$4&lt;1,E$4&gt;hold_period_yrs),0,-E28*12)</f>
        <v/>
      </c>
      <c r="F29" s="16">
        <f>IF(OR(F$4&lt;1,F$4&gt;hold_period_yrs),0,-F28*12)</f>
        <v/>
      </c>
      <c r="G29" s="16">
        <f>IF(OR(G$4&lt;1,G$4&gt;hold_period_yrs),0,-G28*12)</f>
        <v/>
      </c>
      <c r="H29" s="16">
        <f>IF(OR(H$4&lt;1,H$4&gt;hold_period_yrs),0,-H28*12)</f>
        <v/>
      </c>
      <c r="I29" s="16">
        <f>IF(OR(I$4&lt;1,I$4&gt;hold_period_yrs),0,-I28*12)</f>
        <v/>
      </c>
      <c r="J29" s="16">
        <f>IF(OR(J$4&lt;1,J$4&gt;hold_period_yrs),0,-J28*12)</f>
        <v/>
      </c>
      <c r="K29" s="16">
        <f>IF(OR(K$4&lt;1,K$4&gt;hold_period_yrs),0,-K28*12)</f>
        <v/>
      </c>
      <c r="L29" s="16">
        <f>IF(OR(L$4&lt;1,L$4&gt;hold_period_yrs),0,-L28*12)</f>
        <v/>
      </c>
      <c r="M29" s="16">
        <f>IF(OR(M$4&lt;1,M$4&gt;hold_period_yrs),0,-M28*12)</f>
        <v/>
      </c>
      <c r="N29" s="16">
        <f>IF(OR(N$4&lt;1,N$4&gt;hold_period_yrs),0,-N28*12)</f>
        <v/>
      </c>
      <c r="O29" s="16">
        <f>IF(OR(O$4&lt;1,O$4&gt;hold_period_yrs),0,-O28*12)</f>
        <v/>
      </c>
      <c r="P29" s="16">
        <f>IF(OR(P$4&lt;1,P$4&gt;hold_period_yrs),0,-P28*12)</f>
        <v/>
      </c>
      <c r="Q29" s="16">
        <f>IF(OR(Q$4&lt;1,Q$4&gt;hold_period_yrs),0,-Q28*12)</f>
        <v/>
      </c>
      <c r="R29" s="16">
        <f>IF(OR(R$4&lt;1,R$4&gt;hold_period_yrs),0,-R28*12)</f>
        <v/>
      </c>
    </row>
    <row r="31">
      <c r="B31" s="20" t="inlineStr">
        <is>
          <t>Operating Cash Flow</t>
        </is>
      </c>
      <c r="C31" s="16">
        <f>IF(OR(C$4&lt;1,C$4&gt;hold_period_yrs),0,C22+C29)</f>
        <v/>
      </c>
      <c r="D31" s="16">
        <f>IF(OR(D$4&lt;1,D$4&gt;hold_period_yrs),0,D22+D29)</f>
        <v/>
      </c>
      <c r="E31" s="16">
        <f>IF(OR(E$4&lt;1,E$4&gt;hold_period_yrs),0,E22+E29)</f>
        <v/>
      </c>
      <c r="F31" s="16">
        <f>IF(OR(F$4&lt;1,F$4&gt;hold_period_yrs),0,F22+F29)</f>
        <v/>
      </c>
      <c r="G31" s="16">
        <f>IF(OR(G$4&lt;1,G$4&gt;hold_period_yrs),0,G22+G29)</f>
        <v/>
      </c>
      <c r="H31" s="16">
        <f>IF(OR(H$4&lt;1,H$4&gt;hold_period_yrs),0,H22+H29)</f>
        <v/>
      </c>
      <c r="I31" s="16">
        <f>IF(OR(I$4&lt;1,I$4&gt;hold_period_yrs),0,I22+I29)</f>
        <v/>
      </c>
      <c r="J31" s="16">
        <f>IF(OR(J$4&lt;1,J$4&gt;hold_period_yrs),0,J22+J29)</f>
        <v/>
      </c>
      <c r="K31" s="16">
        <f>IF(OR(K$4&lt;1,K$4&gt;hold_period_yrs),0,K22+K29)</f>
        <v/>
      </c>
      <c r="L31" s="16">
        <f>IF(OR(L$4&lt;1,L$4&gt;hold_period_yrs),0,L22+L29)</f>
        <v/>
      </c>
      <c r="M31" s="16">
        <f>IF(OR(M$4&lt;1,M$4&gt;hold_period_yrs),0,M22+M29)</f>
        <v/>
      </c>
      <c r="N31" s="16">
        <f>IF(OR(N$4&lt;1,N$4&gt;hold_period_yrs),0,N22+N29)</f>
        <v/>
      </c>
      <c r="O31" s="16">
        <f>IF(OR(O$4&lt;1,O$4&gt;hold_period_yrs),0,O22+O29)</f>
        <v/>
      </c>
      <c r="P31" s="16">
        <f>IF(OR(P$4&lt;1,P$4&gt;hold_period_yrs),0,P22+P29)</f>
        <v/>
      </c>
      <c r="Q31" s="16">
        <f>IF(OR(Q$4&lt;1,Q$4&gt;hold_period_yrs),0,Q22+Q29)</f>
        <v/>
      </c>
      <c r="R31" s="16">
        <f>IF(OR(R$4&lt;1,R$4&gt;hold_period_yrs),0,R22+R29)</f>
        <v/>
      </c>
    </row>
    <row r="33">
      <c r="B33" s="5" t="inlineStr">
        <is>
          <t>Capital Flows</t>
        </is>
      </c>
    </row>
    <row r="34">
      <c r="B34" s="2" t="inlineStr">
        <is>
          <t>Acquisition Cost</t>
        </is>
      </c>
      <c r="C34" s="39">
        <f>IF(C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D34" s="39">
        <f>IF(D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E34" s="39">
        <f>IF(E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F34" s="39">
        <f>IF(F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G34" s="39">
        <f>IF(G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H34" s="39">
        <f>IF(H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I34" s="39">
        <f>IF(I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J34" s="39">
        <f>IF(J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K34" s="39">
        <f>IF(K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L34" s="39">
        <f>IF(L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M34" s="39">
        <f>IF(M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N34" s="39">
        <f>IF(N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O34" s="39">
        <f>IF(O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P34" s="39">
        <f>IF(P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Q34" s="39">
        <f>IF(Q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R34" s="39">
        <f>IF(R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</row>
    <row r="35">
      <c r="B35" s="2" t="inlineStr">
        <is>
          <t>Refi Cash-Out</t>
        </is>
      </c>
      <c r="C35" s="39">
        <f>IF(AND(refi_year&gt;0,C$4=refi_year),(arv*refi_ltv)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D35" s="39">
        <f>IF(AND(refi_year&gt;0,D$4=refi_year),(arv*refi_ltv)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E35" s="39">
        <f>IF(AND(refi_year&gt;0,E$4=refi_year),(arv*refi_ltv)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F35" s="39">
        <f>IF(AND(refi_year&gt;0,F$4=refi_year),(arv*refi_ltv)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G35" s="39">
        <f>IF(AND(refi_year&gt;0,G$4=refi_year),(arv*refi_ltv)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H35" s="39">
        <f>IF(AND(refi_year&gt;0,H$4=refi_year),(arv*refi_ltv)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I35" s="39">
        <f>IF(AND(refi_year&gt;0,I$4=refi_year),(arv*refi_ltv)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J35" s="39">
        <f>IF(AND(refi_year&gt;0,J$4=refi_year),(arv*refi_ltv)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K35" s="39">
        <f>IF(AND(refi_year&gt;0,K$4=refi_year),(arv*refi_ltv)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L35" s="39">
        <f>IF(AND(refi_year&gt;0,L$4=refi_year),(arv*refi_ltv)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M35" s="39">
        <f>IF(AND(refi_year&gt;0,M$4=refi_year),(arv*refi_ltv)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N35" s="39">
        <f>IF(AND(refi_year&gt;0,N$4=refi_year),(arv*refi_ltv)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O35" s="39">
        <f>IF(AND(refi_year&gt;0,O$4=refi_year),(arv*refi_ltv)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P35" s="39">
        <f>IF(AND(refi_year&gt;0,P$4=refi_year),(arv*refi_ltv)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Q35" s="39">
        <f>IF(AND(refi_year&gt;0,Q$4=refi_year),(arv*refi_ltv)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R35" s="39">
        <f>IF(AND(refi_year&gt;0,R$4=refi_year),(arv*refi_ltv)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</row>
    <row r="36">
      <c r="B36" s="2" t="inlineStr">
        <is>
          <t>Exit Proceeds (Net)</t>
        </is>
      </c>
      <c r="C36" s="39">
        <f>IF(C$4=hold_period_yrs,(C22*(1+rent_growth)/exit_cap_rate)*(1-cost_of_sale_pct) - IFERROR(ABS(FV(C26/12,IF(refi_year&gt;0,hold_period_yrs-refi_year+1,hold_period_yrs)*12,-C28,C25)),0),0)</f>
        <v/>
      </c>
      <c r="D36" s="39">
        <f>IF(D$4=hold_period_yrs,(D22*(1+rent_growth)/exit_cap_rate)*(1-cost_of_sale_pct) - IFERROR(ABS(FV(D26/12,IF(refi_year&gt;0,hold_period_yrs-refi_year+1,hold_period_yrs)*12,-D28,D25)),0),0)</f>
        <v/>
      </c>
      <c r="E36" s="39">
        <f>IF(E$4=hold_period_yrs,(E22*(1+rent_growth)/exit_cap_rate)*(1-cost_of_sale_pct) - IFERROR(ABS(FV(E26/12,IF(refi_year&gt;0,hold_period_yrs-refi_year+1,hold_period_yrs)*12,-E28,E25)),0),0)</f>
        <v/>
      </c>
      <c r="F36" s="39">
        <f>IF(F$4=hold_period_yrs,(F22*(1+rent_growth)/exit_cap_rate)*(1-cost_of_sale_pct) - IFERROR(ABS(FV(F26/12,IF(refi_year&gt;0,hold_period_yrs-refi_year+1,hold_period_yrs)*12,-F28,F25)),0),0)</f>
        <v/>
      </c>
      <c r="G36" s="39">
        <f>IF(G$4=hold_period_yrs,(G22*(1+rent_growth)/exit_cap_rate)*(1-cost_of_sale_pct) - IFERROR(ABS(FV(G26/12,IF(refi_year&gt;0,hold_period_yrs-refi_year+1,hold_period_yrs)*12,-G28,G25)),0),0)</f>
        <v/>
      </c>
      <c r="H36" s="39">
        <f>IF(H$4=hold_period_yrs,(H22*(1+rent_growth)/exit_cap_rate)*(1-cost_of_sale_pct) - IFERROR(ABS(FV(H26/12,IF(refi_year&gt;0,hold_period_yrs-refi_year+1,hold_period_yrs)*12,-H28,H25)),0),0)</f>
        <v/>
      </c>
      <c r="I36" s="39">
        <f>IF(I$4=hold_period_yrs,(I22*(1+rent_growth)/exit_cap_rate)*(1-cost_of_sale_pct) - IFERROR(ABS(FV(I26/12,IF(refi_year&gt;0,hold_period_yrs-refi_year+1,hold_period_yrs)*12,-I28,I25)),0),0)</f>
        <v/>
      </c>
      <c r="J36" s="39">
        <f>IF(J$4=hold_period_yrs,(J22*(1+rent_growth)/exit_cap_rate)*(1-cost_of_sale_pct) - IFERROR(ABS(FV(J26/12,IF(refi_year&gt;0,hold_period_yrs-refi_year+1,hold_period_yrs)*12,-J28,J25)),0),0)</f>
        <v/>
      </c>
      <c r="K36" s="39">
        <f>IF(K$4=hold_period_yrs,(K22*(1+rent_growth)/exit_cap_rate)*(1-cost_of_sale_pct) - IFERROR(ABS(FV(K26/12,IF(refi_year&gt;0,hold_period_yrs-refi_year+1,hold_period_yrs)*12,-K28,K25)),0),0)</f>
        <v/>
      </c>
      <c r="L36" s="39">
        <f>IF(L$4=hold_period_yrs,(L22*(1+rent_growth)/exit_cap_rate)*(1-cost_of_sale_pct) - IFERROR(ABS(FV(L26/12,IF(refi_year&gt;0,hold_period_yrs-refi_year+1,hold_period_yrs)*12,-L28,L25)),0),0)</f>
        <v/>
      </c>
      <c r="M36" s="39">
        <f>IF(M$4=hold_period_yrs,(M22*(1+rent_growth)/exit_cap_rate)*(1-cost_of_sale_pct) - IFERROR(ABS(FV(M26/12,IF(refi_year&gt;0,hold_period_yrs-refi_year+1,hold_period_yrs)*12,-M28,M25)),0),0)</f>
        <v/>
      </c>
      <c r="N36" s="39">
        <f>IF(N$4=hold_period_yrs,(N22*(1+rent_growth)/exit_cap_rate)*(1-cost_of_sale_pct) - IFERROR(ABS(FV(N26/12,IF(refi_year&gt;0,hold_period_yrs-refi_year+1,hold_period_yrs)*12,-N28,N25)),0),0)</f>
        <v/>
      </c>
      <c r="O36" s="39">
        <f>IF(O$4=hold_period_yrs,(O22*(1+rent_growth)/exit_cap_rate)*(1-cost_of_sale_pct) - IFERROR(ABS(FV(O26/12,IF(refi_year&gt;0,hold_period_yrs-refi_year+1,hold_period_yrs)*12,-O28,O25)),0),0)</f>
        <v/>
      </c>
      <c r="P36" s="39">
        <f>IF(P$4=hold_period_yrs,(P22*(1+rent_growth)/exit_cap_rate)*(1-cost_of_sale_pct) - IFERROR(ABS(FV(P26/12,IF(refi_year&gt;0,hold_period_yrs-refi_year+1,hold_period_yrs)*12,-P28,P25)),0),0)</f>
        <v/>
      </c>
      <c r="Q36" s="39">
        <f>IF(Q$4=hold_period_yrs,(Q22*(1+rent_growth)/exit_cap_rate)*(1-cost_of_sale_pct) - IFERROR(ABS(FV(Q26/12,IF(refi_year&gt;0,hold_period_yrs-refi_year+1,hold_period_yrs)*12,-Q28,Q25)),0),0)</f>
        <v/>
      </c>
      <c r="R36" s="39">
        <f>IF(R$4=hold_period_yrs,(R22*(1+rent_growth)/exit_cap_rate)*(1-cost_of_sale_pct) - IFERROR(ABS(FV(R26/12,IF(refi_year&gt;0,hold_period_yrs-refi_year+1,hold_period_yrs)*12,-R28,R25)),0),0)</f>
        <v/>
      </c>
    </row>
    <row r="38">
      <c r="B38" s="20" t="inlineStr">
        <is>
          <t>Net Cash Flow</t>
        </is>
      </c>
      <c r="C38" s="16">
        <f>IF(C$4&gt;hold_period_yrs,0,C22+C29+C34+C35+C36)</f>
        <v/>
      </c>
      <c r="D38" s="16">
        <f>IF(D$4&gt;hold_period_yrs,0,D22+D29+D34+D35+D36)</f>
        <v/>
      </c>
      <c r="E38" s="16">
        <f>IF(E$4&gt;hold_period_yrs,0,E22+E29+E34+E35+E36)</f>
        <v/>
      </c>
      <c r="F38" s="16">
        <f>IF(F$4&gt;hold_period_yrs,0,F22+F29+F34+F35+F36)</f>
        <v/>
      </c>
      <c r="G38" s="16">
        <f>IF(G$4&gt;hold_period_yrs,0,G22+G29+G34+G35+G36)</f>
        <v/>
      </c>
      <c r="H38" s="16">
        <f>IF(H$4&gt;hold_period_yrs,0,H22+H29+H34+H35+H36)</f>
        <v/>
      </c>
      <c r="I38" s="16">
        <f>IF(I$4&gt;hold_period_yrs,0,I22+I29+I34+I35+I36)</f>
        <v/>
      </c>
      <c r="J38" s="16">
        <f>IF(J$4&gt;hold_period_yrs,0,J22+J29+J34+J35+J36)</f>
        <v/>
      </c>
      <c r="K38" s="16">
        <f>IF(K$4&gt;hold_period_yrs,0,K22+K29+K34+K35+K36)</f>
        <v/>
      </c>
      <c r="L38" s="16">
        <f>IF(L$4&gt;hold_period_yrs,0,L22+L29+L34+L35+L36)</f>
        <v/>
      </c>
      <c r="M38" s="16">
        <f>IF(M$4&gt;hold_period_yrs,0,M22+M29+M34+M35+M36)</f>
        <v/>
      </c>
      <c r="N38" s="16">
        <f>IF(N$4&gt;hold_period_yrs,0,N22+N29+N34+N35+N36)</f>
        <v/>
      </c>
      <c r="O38" s="16">
        <f>IF(O$4&gt;hold_period_yrs,0,O22+O29+O34+O35+O36)</f>
        <v/>
      </c>
      <c r="P38" s="16">
        <f>IF(P$4&gt;hold_period_yrs,0,P22+P29+P34+P35+P36)</f>
        <v/>
      </c>
      <c r="Q38" s="16">
        <f>IF(Q$4&gt;hold_period_yrs,0,Q22+Q29+Q34+Q35+Q36)</f>
        <v/>
      </c>
      <c r="R38" s="16">
        <f>IF(R$4&gt;hold_period_yrs,0,R22+R29+R34+R35+R36)</f>
        <v/>
      </c>
    </row>
    <row r="39">
      <c r="B39" s="2" t="inlineStr">
        <is>
          <t>DSCR</t>
        </is>
      </c>
      <c r="C39" s="48">
        <f>IF(OR(C$4&lt;1,C$4&gt;hold_period_yrs,C29=0),"",IFERROR(C22/-C29,""))</f>
        <v/>
      </c>
      <c r="D39" s="48">
        <f>IF(OR(D$4&lt;1,D$4&gt;hold_period_yrs,D29=0),"",IFERROR(D22/-D29,""))</f>
        <v/>
      </c>
      <c r="E39" s="48">
        <f>IF(OR(E$4&lt;1,E$4&gt;hold_period_yrs,E29=0),"",IFERROR(E22/-E29,""))</f>
        <v/>
      </c>
      <c r="F39" s="48">
        <f>IF(OR(F$4&lt;1,F$4&gt;hold_period_yrs,F29=0),"",IFERROR(F22/-F29,""))</f>
        <v/>
      </c>
      <c r="G39" s="48">
        <f>IF(OR(G$4&lt;1,G$4&gt;hold_period_yrs,G29=0),"",IFERROR(G22/-G29,""))</f>
        <v/>
      </c>
      <c r="H39" s="48">
        <f>IF(OR(H$4&lt;1,H$4&gt;hold_period_yrs,H29=0),"",IFERROR(H22/-H29,""))</f>
        <v/>
      </c>
      <c r="I39" s="48">
        <f>IF(OR(I$4&lt;1,I$4&gt;hold_period_yrs,I29=0),"",IFERROR(I22/-I29,""))</f>
        <v/>
      </c>
      <c r="J39" s="48">
        <f>IF(OR(J$4&lt;1,J$4&gt;hold_period_yrs,J29=0),"",IFERROR(J22/-J29,""))</f>
        <v/>
      </c>
      <c r="K39" s="48">
        <f>IF(OR(K$4&lt;1,K$4&gt;hold_period_yrs,K29=0),"",IFERROR(K22/-K29,""))</f>
        <v/>
      </c>
      <c r="L39" s="48">
        <f>IF(OR(L$4&lt;1,L$4&gt;hold_period_yrs,L29=0),"",IFERROR(L22/-L29,""))</f>
        <v/>
      </c>
      <c r="M39" s="48">
        <f>IF(OR(M$4&lt;1,M$4&gt;hold_period_yrs,M29=0),"",IFERROR(M22/-M29,""))</f>
        <v/>
      </c>
      <c r="N39" s="48">
        <f>IF(OR(N$4&lt;1,N$4&gt;hold_period_yrs,N29=0),"",IFERROR(N22/-N29,""))</f>
        <v/>
      </c>
      <c r="O39" s="48">
        <f>IF(OR(O$4&lt;1,O$4&gt;hold_period_yrs,O29=0),"",IFERROR(O22/-O29,""))</f>
        <v/>
      </c>
      <c r="P39" s="48">
        <f>IF(OR(P$4&lt;1,P$4&gt;hold_period_yrs,P29=0),"",IFERROR(P22/-P29,""))</f>
        <v/>
      </c>
      <c r="Q39" s="48">
        <f>IF(OR(Q$4&lt;1,Q$4&gt;hold_period_yrs,Q29=0),"",IFERROR(Q22/-Q29,""))</f>
        <v/>
      </c>
      <c r="R39" s="48">
        <f>IF(OR(R$4&lt;1,R$4&gt;hold_period_yrs,R29=0),"",IFERROR(R22/-R29,""))</f>
        <v/>
      </c>
    </row>
    <row r="41">
      <c r="B41" s="5" t="inlineStr">
        <is>
          <t>Equity Tracking</t>
        </is>
      </c>
    </row>
    <row r="42">
      <c r="B42" s="2" t="inlineStr">
        <is>
          <t>Property Value</t>
        </is>
      </c>
      <c r="C42" s="39">
        <f>IF(C$4=0,purchase_price+rehab_cost,IF(C$4&gt;hold_period_yrs,0,arv*(1+appreciation_rate)^(C$4-1)))</f>
        <v/>
      </c>
      <c r="D42" s="39">
        <f>IF(D$4=0,purchase_price+rehab_cost,IF(D$4&gt;hold_period_yrs,0,arv*(1+appreciation_rate)^(D$4-1)))</f>
        <v/>
      </c>
      <c r="E42" s="39">
        <f>IF(E$4=0,purchase_price+rehab_cost,IF(E$4&gt;hold_period_yrs,0,arv*(1+appreciation_rate)^(E$4-1)))</f>
        <v/>
      </c>
      <c r="F42" s="39">
        <f>IF(F$4=0,purchase_price+rehab_cost,IF(F$4&gt;hold_period_yrs,0,arv*(1+appreciation_rate)^(F$4-1)))</f>
        <v/>
      </c>
      <c r="G42" s="39">
        <f>IF(G$4=0,purchase_price+rehab_cost,IF(G$4&gt;hold_period_yrs,0,arv*(1+appreciation_rate)^(G$4-1)))</f>
        <v/>
      </c>
      <c r="H42" s="39">
        <f>IF(H$4=0,purchase_price+rehab_cost,IF(H$4&gt;hold_period_yrs,0,arv*(1+appreciation_rate)^(H$4-1)))</f>
        <v/>
      </c>
      <c r="I42" s="39">
        <f>IF(I$4=0,purchase_price+rehab_cost,IF(I$4&gt;hold_period_yrs,0,arv*(1+appreciation_rate)^(I$4-1)))</f>
        <v/>
      </c>
      <c r="J42" s="39">
        <f>IF(J$4=0,purchase_price+rehab_cost,IF(J$4&gt;hold_period_yrs,0,arv*(1+appreciation_rate)^(J$4-1)))</f>
        <v/>
      </c>
      <c r="K42" s="39">
        <f>IF(K$4=0,purchase_price+rehab_cost,IF(K$4&gt;hold_period_yrs,0,arv*(1+appreciation_rate)^(K$4-1)))</f>
        <v/>
      </c>
      <c r="L42" s="39">
        <f>IF(L$4=0,purchase_price+rehab_cost,IF(L$4&gt;hold_period_yrs,0,arv*(1+appreciation_rate)^(L$4-1)))</f>
        <v/>
      </c>
      <c r="M42" s="39">
        <f>IF(M$4=0,purchase_price+rehab_cost,IF(M$4&gt;hold_period_yrs,0,arv*(1+appreciation_rate)^(M$4-1)))</f>
        <v/>
      </c>
      <c r="N42" s="39">
        <f>IF(N$4=0,purchase_price+rehab_cost,IF(N$4&gt;hold_period_yrs,0,arv*(1+appreciation_rate)^(N$4-1)))</f>
        <v/>
      </c>
      <c r="O42" s="39">
        <f>IF(O$4=0,purchase_price+rehab_cost,IF(O$4&gt;hold_period_yrs,0,arv*(1+appreciation_rate)^(O$4-1)))</f>
        <v/>
      </c>
      <c r="P42" s="39">
        <f>IF(P$4=0,purchase_price+rehab_cost,IF(P$4&gt;hold_period_yrs,0,arv*(1+appreciation_rate)^(P$4-1)))</f>
        <v/>
      </c>
      <c r="Q42" s="39">
        <f>IF(Q$4=0,purchase_price+rehab_cost,IF(Q$4&gt;hold_period_yrs,0,arv*(1+appreciation_rate)^(Q$4-1)))</f>
        <v/>
      </c>
      <c r="R42" s="39">
        <f>IF(R$4=0,purchase_price+rehab_cost,IF(R$4&gt;hold_period_yrs,0,arv*(1+appreciation_rate)^(R$4-1)))</f>
        <v/>
      </c>
    </row>
    <row r="43">
      <c r="B43" s="2" t="inlineStr">
        <is>
          <t>Outstanding Loan Balance (EOP)</t>
        </is>
      </c>
      <c r="C43" s="39">
        <f>IF(C$4=0,purchase_price*(1-down_payment_pct),IF(C$4&gt;hold_period_yrs,0,IF(AND(refi_year&gt;0,C$4&gt;=refi_year),IFERROR(ABS(FV(refi_interest_rate/12,(C$4-refi_year+1)*12,-(IFERROR(-PMT(refi_interest_rate/12,refi_term_yrs*12,arv*refi_ltv),0)),arv*refi_ltv)),0),IFERROR(ABS(FV(interest_rate/12,C$4*12,-(IFERROR(-PMT(interest_rate/12,loan_term_yrs*12,purchase_price*(1-down_payment_pct)),0)),purchase_price*(1-down_payment_pct))),0))))</f>
        <v/>
      </c>
      <c r="D43" s="39">
        <f>IF(D$4=0,purchase_price*(1-down_payment_pct),IF(D$4&gt;hold_period_yrs,0,IF(AND(refi_year&gt;0,D$4&gt;=refi_year),IFERROR(ABS(FV(refi_interest_rate/12,(D$4-refi_year+1)*12,-(IFERROR(-PMT(refi_interest_rate/12,refi_term_yrs*12,arv*refi_ltv),0)),arv*refi_ltv)),0),IFERROR(ABS(FV(interest_rate/12,D$4*12,-(IFERROR(-PMT(interest_rate/12,loan_term_yrs*12,purchase_price*(1-down_payment_pct)),0)),purchase_price*(1-down_payment_pct))),0))))</f>
        <v/>
      </c>
      <c r="E43" s="39">
        <f>IF(E$4=0,purchase_price*(1-down_payment_pct),IF(E$4&gt;hold_period_yrs,0,IF(AND(refi_year&gt;0,E$4&gt;=refi_year),IFERROR(ABS(FV(refi_interest_rate/12,(E$4-refi_year+1)*12,-(IFERROR(-PMT(refi_interest_rate/12,refi_term_yrs*12,arv*refi_ltv),0)),arv*refi_ltv)),0),IFERROR(ABS(FV(interest_rate/12,E$4*12,-(IFERROR(-PMT(interest_rate/12,loan_term_yrs*12,purchase_price*(1-down_payment_pct)),0)),purchase_price*(1-down_payment_pct))),0))))</f>
        <v/>
      </c>
      <c r="F43" s="39">
        <f>IF(F$4=0,purchase_price*(1-down_payment_pct),IF(F$4&gt;hold_period_yrs,0,IF(AND(refi_year&gt;0,F$4&gt;=refi_year),IFERROR(ABS(FV(refi_interest_rate/12,(F$4-refi_year+1)*12,-(IFERROR(-PMT(refi_interest_rate/12,refi_term_yrs*12,arv*refi_ltv),0)),arv*refi_ltv)),0),IFERROR(ABS(FV(interest_rate/12,F$4*12,-(IFERROR(-PMT(interest_rate/12,loan_term_yrs*12,purchase_price*(1-down_payment_pct)),0)),purchase_price*(1-down_payment_pct))),0))))</f>
        <v/>
      </c>
      <c r="G43" s="39">
        <f>IF(G$4=0,purchase_price*(1-down_payment_pct),IF(G$4&gt;hold_period_yrs,0,IF(AND(refi_year&gt;0,G$4&gt;=refi_year),IFERROR(ABS(FV(refi_interest_rate/12,(G$4-refi_year+1)*12,-(IFERROR(-PMT(refi_interest_rate/12,refi_term_yrs*12,arv*refi_ltv),0)),arv*refi_ltv)),0),IFERROR(ABS(FV(interest_rate/12,G$4*12,-(IFERROR(-PMT(interest_rate/12,loan_term_yrs*12,purchase_price*(1-down_payment_pct)),0)),purchase_price*(1-down_payment_pct))),0))))</f>
        <v/>
      </c>
      <c r="H43" s="39">
        <f>IF(H$4=0,purchase_price*(1-down_payment_pct),IF(H$4&gt;hold_period_yrs,0,IF(AND(refi_year&gt;0,H$4&gt;=refi_year),IFERROR(ABS(FV(refi_interest_rate/12,(H$4-refi_year+1)*12,-(IFERROR(-PMT(refi_interest_rate/12,refi_term_yrs*12,arv*refi_ltv),0)),arv*refi_ltv)),0),IFERROR(ABS(FV(interest_rate/12,H$4*12,-(IFERROR(-PMT(interest_rate/12,loan_term_yrs*12,purchase_price*(1-down_payment_pct)),0)),purchase_price*(1-down_payment_pct))),0))))</f>
        <v/>
      </c>
      <c r="I43" s="39">
        <f>IF(I$4=0,purchase_price*(1-down_payment_pct),IF(I$4&gt;hold_period_yrs,0,IF(AND(refi_year&gt;0,I$4&gt;=refi_year),IFERROR(ABS(FV(refi_interest_rate/12,(I$4-refi_year+1)*12,-(IFERROR(-PMT(refi_interest_rate/12,refi_term_yrs*12,arv*refi_ltv),0)),arv*refi_ltv)),0),IFERROR(ABS(FV(interest_rate/12,I$4*12,-(IFERROR(-PMT(interest_rate/12,loan_term_yrs*12,purchase_price*(1-down_payment_pct)),0)),purchase_price*(1-down_payment_pct))),0))))</f>
        <v/>
      </c>
      <c r="J43" s="39">
        <f>IF(J$4=0,purchase_price*(1-down_payment_pct),IF(J$4&gt;hold_period_yrs,0,IF(AND(refi_year&gt;0,J$4&gt;=refi_year),IFERROR(ABS(FV(refi_interest_rate/12,(J$4-refi_year+1)*12,-(IFERROR(-PMT(refi_interest_rate/12,refi_term_yrs*12,arv*refi_ltv),0)),arv*refi_ltv)),0),IFERROR(ABS(FV(interest_rate/12,J$4*12,-(IFERROR(-PMT(interest_rate/12,loan_term_yrs*12,purchase_price*(1-down_payment_pct)),0)),purchase_price*(1-down_payment_pct))),0))))</f>
        <v/>
      </c>
      <c r="K43" s="39">
        <f>IF(K$4=0,purchase_price*(1-down_payment_pct),IF(K$4&gt;hold_period_yrs,0,IF(AND(refi_year&gt;0,K$4&gt;=refi_year),IFERROR(ABS(FV(refi_interest_rate/12,(K$4-refi_year+1)*12,-(IFERROR(-PMT(refi_interest_rate/12,refi_term_yrs*12,arv*refi_ltv),0)),arv*refi_ltv)),0),IFERROR(ABS(FV(interest_rate/12,K$4*12,-(IFERROR(-PMT(interest_rate/12,loan_term_yrs*12,purchase_price*(1-down_payment_pct)),0)),purchase_price*(1-down_payment_pct))),0))))</f>
        <v/>
      </c>
      <c r="L43" s="39">
        <f>IF(L$4=0,purchase_price*(1-down_payment_pct),IF(L$4&gt;hold_period_yrs,0,IF(AND(refi_year&gt;0,L$4&gt;=refi_year),IFERROR(ABS(FV(refi_interest_rate/12,(L$4-refi_year+1)*12,-(IFERROR(-PMT(refi_interest_rate/12,refi_term_yrs*12,arv*refi_ltv),0)),arv*refi_ltv)),0),IFERROR(ABS(FV(interest_rate/12,L$4*12,-(IFERROR(-PMT(interest_rate/12,loan_term_yrs*12,purchase_price*(1-down_payment_pct)),0)),purchase_price*(1-down_payment_pct))),0))))</f>
        <v/>
      </c>
      <c r="M43" s="39">
        <f>IF(M$4=0,purchase_price*(1-down_payment_pct),IF(M$4&gt;hold_period_yrs,0,IF(AND(refi_year&gt;0,M$4&gt;=refi_year),IFERROR(ABS(FV(refi_interest_rate/12,(M$4-refi_year+1)*12,-(IFERROR(-PMT(refi_interest_rate/12,refi_term_yrs*12,arv*refi_ltv),0)),arv*refi_ltv)),0),IFERROR(ABS(FV(interest_rate/12,M$4*12,-(IFERROR(-PMT(interest_rate/12,loan_term_yrs*12,purchase_price*(1-down_payment_pct)),0)),purchase_price*(1-down_payment_pct))),0))))</f>
        <v/>
      </c>
      <c r="N43" s="39">
        <f>IF(N$4=0,purchase_price*(1-down_payment_pct),IF(N$4&gt;hold_period_yrs,0,IF(AND(refi_year&gt;0,N$4&gt;=refi_year),IFERROR(ABS(FV(refi_interest_rate/12,(N$4-refi_year+1)*12,-(IFERROR(-PMT(refi_interest_rate/12,refi_term_yrs*12,arv*refi_ltv),0)),arv*refi_ltv)),0),IFERROR(ABS(FV(interest_rate/12,N$4*12,-(IFERROR(-PMT(interest_rate/12,loan_term_yrs*12,purchase_price*(1-down_payment_pct)),0)),purchase_price*(1-down_payment_pct))),0))))</f>
        <v/>
      </c>
      <c r="O43" s="39">
        <f>IF(O$4=0,purchase_price*(1-down_payment_pct),IF(O$4&gt;hold_period_yrs,0,IF(AND(refi_year&gt;0,O$4&gt;=refi_year),IFERROR(ABS(FV(refi_interest_rate/12,(O$4-refi_year+1)*12,-(IFERROR(-PMT(refi_interest_rate/12,refi_term_yrs*12,arv*refi_ltv),0)),arv*refi_ltv)),0),IFERROR(ABS(FV(interest_rate/12,O$4*12,-(IFERROR(-PMT(interest_rate/12,loan_term_yrs*12,purchase_price*(1-down_payment_pct)),0)),purchase_price*(1-down_payment_pct))),0))))</f>
        <v/>
      </c>
      <c r="P43" s="39">
        <f>IF(P$4=0,purchase_price*(1-down_payment_pct),IF(P$4&gt;hold_period_yrs,0,IF(AND(refi_year&gt;0,P$4&gt;=refi_year),IFERROR(ABS(FV(refi_interest_rate/12,(P$4-refi_year+1)*12,-(IFERROR(-PMT(refi_interest_rate/12,refi_term_yrs*12,arv*refi_ltv),0)),arv*refi_ltv)),0),IFERROR(ABS(FV(interest_rate/12,P$4*12,-(IFERROR(-PMT(interest_rate/12,loan_term_yrs*12,purchase_price*(1-down_payment_pct)),0)),purchase_price*(1-down_payment_pct))),0))))</f>
        <v/>
      </c>
      <c r="Q43" s="39">
        <f>IF(Q$4=0,purchase_price*(1-down_payment_pct),IF(Q$4&gt;hold_period_yrs,0,IF(AND(refi_year&gt;0,Q$4&gt;=refi_year),IFERROR(ABS(FV(refi_interest_rate/12,(Q$4-refi_year+1)*12,-(IFERROR(-PMT(refi_interest_rate/12,refi_term_yrs*12,arv*refi_ltv),0)),arv*refi_ltv)),0),IFERROR(ABS(FV(interest_rate/12,Q$4*12,-(IFERROR(-PMT(interest_rate/12,loan_term_yrs*12,purchase_price*(1-down_payment_pct)),0)),purchase_price*(1-down_payment_pct))),0))))</f>
        <v/>
      </c>
      <c r="R43" s="39">
        <f>IF(R$4=0,purchase_price*(1-down_payment_pct),IF(R$4&gt;hold_period_yrs,0,IF(AND(refi_year&gt;0,R$4&gt;=refi_year),IFERROR(ABS(FV(refi_interest_rate/12,(R$4-refi_year+1)*12,-(IFERROR(-PMT(refi_interest_rate/12,refi_term_yrs*12,arv*refi_ltv),0)),arv*refi_ltv)),0),IFERROR(ABS(FV(interest_rate/12,R$4*12,-(IFERROR(-PMT(interest_rate/12,loan_term_yrs*12,purchase_price*(1-down_payment_pct)),0)),purchase_price*(1-down_payment_pct))),0))))</f>
        <v/>
      </c>
    </row>
    <row r="44">
      <c r="B44" s="20" t="inlineStr">
        <is>
          <t>Equity Value</t>
        </is>
      </c>
      <c r="C44" s="16">
        <f>IF(C$4&gt;hold_period_yrs,0,C42-C43)</f>
        <v/>
      </c>
      <c r="D44" s="16">
        <f>IF(D$4&gt;hold_period_yrs,0,D42-D43)</f>
        <v/>
      </c>
      <c r="E44" s="16">
        <f>IF(E$4&gt;hold_period_yrs,0,E42-E43)</f>
        <v/>
      </c>
      <c r="F44" s="16">
        <f>IF(F$4&gt;hold_period_yrs,0,F42-F43)</f>
        <v/>
      </c>
      <c r="G44" s="16">
        <f>IF(G$4&gt;hold_period_yrs,0,G42-G43)</f>
        <v/>
      </c>
      <c r="H44" s="16">
        <f>IF(H$4&gt;hold_period_yrs,0,H42-H43)</f>
        <v/>
      </c>
      <c r="I44" s="16">
        <f>IF(I$4&gt;hold_period_yrs,0,I42-I43)</f>
        <v/>
      </c>
      <c r="J44" s="16">
        <f>IF(J$4&gt;hold_period_yrs,0,J42-J43)</f>
        <v/>
      </c>
      <c r="K44" s="16">
        <f>IF(K$4&gt;hold_period_yrs,0,K42-K43)</f>
        <v/>
      </c>
      <c r="L44" s="16">
        <f>IF(L$4&gt;hold_period_yrs,0,L42-L43)</f>
        <v/>
      </c>
      <c r="M44" s="16">
        <f>IF(M$4&gt;hold_period_yrs,0,M42-M43)</f>
        <v/>
      </c>
      <c r="N44" s="16">
        <f>IF(N$4&gt;hold_period_yrs,0,N42-N43)</f>
        <v/>
      </c>
      <c r="O44" s="16">
        <f>IF(O$4&gt;hold_period_yrs,0,O42-O43)</f>
        <v/>
      </c>
      <c r="P44" s="16">
        <f>IF(P$4&gt;hold_period_yrs,0,P42-P43)</f>
        <v/>
      </c>
      <c r="Q44" s="16">
        <f>IF(Q$4&gt;hold_period_yrs,0,Q42-Q43)</f>
        <v/>
      </c>
      <c r="R44" s="16">
        <f>IF(R$4&gt;hold_period_yrs,0,R42-R43)</f>
        <v/>
      </c>
    </row>
    <row r="46">
      <c r="B46" s="5" t="inlineStr">
        <is>
          <t>LP / GP Distribution (Joe's Split)</t>
        </is>
      </c>
    </row>
    <row r="47">
      <c r="B47" s="20" t="inlineStr">
        <is>
          <t>LP Distribution</t>
        </is>
      </c>
      <c r="C47" s="16">
        <f>C38</f>
        <v/>
      </c>
      <c r="D47" s="39">
        <f>IF(OR(D$4&lt;1,D$4&gt;hold_period_yrs),0,MIN(MAX(0,D38),MAX(0,(-C38)-0))+MAX(0,MAX(0,D38)-MAX(0,(-C38)-0))*gp_lp_split_lp)</f>
        <v/>
      </c>
      <c r="E47" s="39">
        <f>IF(OR(E$4&lt;1,E$4&gt;hold_period_yrs),0,MIN(MAX(0,E38),MAX(0,(-C38)-SUM(D47:D47)))+MAX(0,MAX(0,E38)-MAX(0,(-C38)-SUM(D47:D47)))*gp_lp_split_lp)</f>
        <v/>
      </c>
      <c r="F47" s="39">
        <f>IF(OR(F$4&lt;1,F$4&gt;hold_period_yrs),0,MIN(MAX(0,F38),MAX(0,(-C38)-SUM(D47:E47)))+MAX(0,MAX(0,F38)-MAX(0,(-C38)-SUM(D47:E47)))*gp_lp_split_lp)</f>
        <v/>
      </c>
      <c r="G47" s="39">
        <f>IF(OR(G$4&lt;1,G$4&gt;hold_period_yrs),0,MIN(MAX(0,G38),MAX(0,(-C38)-SUM(D47:F47)))+MAX(0,MAX(0,G38)-MAX(0,(-C38)-SUM(D47:F47)))*gp_lp_split_lp)</f>
        <v/>
      </c>
      <c r="H47" s="39">
        <f>IF(OR(H$4&lt;1,H$4&gt;hold_period_yrs),0,MIN(MAX(0,H38),MAX(0,(-C38)-SUM(D47:G47)))+MAX(0,MAX(0,H38)-MAX(0,(-C38)-SUM(D47:G47)))*gp_lp_split_lp)</f>
        <v/>
      </c>
      <c r="I47" s="39">
        <f>IF(OR(I$4&lt;1,I$4&gt;hold_period_yrs),0,MIN(MAX(0,I38),MAX(0,(-C38)-SUM(D47:H47)))+MAX(0,MAX(0,I38)-MAX(0,(-C38)-SUM(D47:H47)))*gp_lp_split_lp)</f>
        <v/>
      </c>
      <c r="J47" s="39">
        <f>IF(OR(J$4&lt;1,J$4&gt;hold_period_yrs),0,MIN(MAX(0,J38),MAX(0,(-C38)-SUM(D47:I47)))+MAX(0,MAX(0,J38)-MAX(0,(-C38)-SUM(D47:I47)))*gp_lp_split_lp)</f>
        <v/>
      </c>
      <c r="K47" s="39">
        <f>IF(OR(K$4&lt;1,K$4&gt;hold_period_yrs),0,MIN(MAX(0,K38),MAX(0,(-C38)-SUM(D47:J47)))+MAX(0,MAX(0,K38)-MAX(0,(-C38)-SUM(D47:J47)))*gp_lp_split_lp)</f>
        <v/>
      </c>
      <c r="L47" s="39">
        <f>IF(OR(L$4&lt;1,L$4&gt;hold_period_yrs),0,MIN(MAX(0,L38),MAX(0,(-C38)-SUM(D47:K47)))+MAX(0,MAX(0,L38)-MAX(0,(-C38)-SUM(D47:K47)))*gp_lp_split_lp)</f>
        <v/>
      </c>
      <c r="M47" s="39">
        <f>IF(OR(M$4&lt;1,M$4&gt;hold_period_yrs),0,MIN(MAX(0,M38),MAX(0,(-C38)-SUM(D47:L47)))+MAX(0,MAX(0,M38)-MAX(0,(-C38)-SUM(D47:L47)))*gp_lp_split_lp)</f>
        <v/>
      </c>
      <c r="N47" s="39">
        <f>IF(OR(N$4&lt;1,N$4&gt;hold_period_yrs),0,MIN(MAX(0,N38),MAX(0,(-C38)-SUM(D47:M47)))+MAX(0,MAX(0,N38)-MAX(0,(-C38)-SUM(D47:M47)))*gp_lp_split_lp)</f>
        <v/>
      </c>
      <c r="O47" s="39">
        <f>IF(OR(O$4&lt;1,O$4&gt;hold_period_yrs),0,MIN(MAX(0,O38),MAX(0,(-C38)-SUM(D47:N47)))+MAX(0,MAX(0,O38)-MAX(0,(-C38)-SUM(D47:N47)))*gp_lp_split_lp)</f>
        <v/>
      </c>
      <c r="P47" s="39">
        <f>IF(OR(P$4&lt;1,P$4&gt;hold_period_yrs),0,MIN(MAX(0,P38),MAX(0,(-C38)-SUM(D47:O47)))+MAX(0,MAX(0,P38)-MAX(0,(-C38)-SUM(D47:O47)))*gp_lp_split_lp)</f>
        <v/>
      </c>
      <c r="Q47" s="39">
        <f>IF(OR(Q$4&lt;1,Q$4&gt;hold_period_yrs),0,MIN(MAX(0,Q38),MAX(0,(-C38)-SUM(D47:P47)))+MAX(0,MAX(0,Q38)-MAX(0,(-C38)-SUM(D47:P47)))*gp_lp_split_lp)</f>
        <v/>
      </c>
      <c r="R47" s="39">
        <f>IF(OR(R$4&lt;1,R$4&gt;hold_period_yrs),0,MIN(MAX(0,R38),MAX(0,(-C38)-SUM(D47:Q47)))+MAX(0,MAX(0,R38)-MAX(0,(-C38)-SUM(D47:Q47)))*gp_lp_split_lp)</f>
        <v/>
      </c>
    </row>
    <row r="48">
      <c r="B48" s="2" t="inlineStr">
        <is>
          <t>GP Distribution</t>
        </is>
      </c>
      <c r="C48" s="39">
        <f>0</f>
        <v/>
      </c>
      <c r="D48" s="39">
        <f>IF(OR(D$4&lt;1,D$4&gt;hold_period_yrs),0,MAX(0,MAX(0,D38)-MAX(0,(-C38)-0))*(1-gp_lp_split_lp))</f>
        <v/>
      </c>
      <c r="E48" s="39">
        <f>IF(OR(E$4&lt;1,E$4&gt;hold_period_yrs),0,MAX(0,MAX(0,E38)-MAX(0,(-C38)-SUM(D47:D47)))*(1-gp_lp_split_lp))</f>
        <v/>
      </c>
      <c r="F48" s="39">
        <f>IF(OR(F$4&lt;1,F$4&gt;hold_period_yrs),0,MAX(0,MAX(0,F38)-MAX(0,(-C38)-SUM(D47:E47)))*(1-gp_lp_split_lp))</f>
        <v/>
      </c>
      <c r="G48" s="39">
        <f>IF(OR(G$4&lt;1,G$4&gt;hold_period_yrs),0,MAX(0,MAX(0,G38)-MAX(0,(-C38)-SUM(D47:F47)))*(1-gp_lp_split_lp))</f>
        <v/>
      </c>
      <c r="H48" s="39">
        <f>IF(OR(H$4&lt;1,H$4&gt;hold_period_yrs),0,MAX(0,MAX(0,H38)-MAX(0,(-C38)-SUM(D47:G47)))*(1-gp_lp_split_lp))</f>
        <v/>
      </c>
      <c r="I48" s="39">
        <f>IF(OR(I$4&lt;1,I$4&gt;hold_period_yrs),0,MAX(0,MAX(0,I38)-MAX(0,(-C38)-SUM(D47:H47)))*(1-gp_lp_split_lp))</f>
        <v/>
      </c>
      <c r="J48" s="39">
        <f>IF(OR(J$4&lt;1,J$4&gt;hold_period_yrs),0,MAX(0,MAX(0,J38)-MAX(0,(-C38)-SUM(D47:I47)))*(1-gp_lp_split_lp))</f>
        <v/>
      </c>
      <c r="K48" s="39">
        <f>IF(OR(K$4&lt;1,K$4&gt;hold_period_yrs),0,MAX(0,MAX(0,K38)-MAX(0,(-C38)-SUM(D47:J47)))*(1-gp_lp_split_lp))</f>
        <v/>
      </c>
      <c r="L48" s="39">
        <f>IF(OR(L$4&lt;1,L$4&gt;hold_period_yrs),0,MAX(0,MAX(0,L38)-MAX(0,(-C38)-SUM(D47:K47)))*(1-gp_lp_split_lp))</f>
        <v/>
      </c>
      <c r="M48" s="39">
        <f>IF(OR(M$4&lt;1,M$4&gt;hold_period_yrs),0,MAX(0,MAX(0,M38)-MAX(0,(-C38)-SUM(D47:L47)))*(1-gp_lp_split_lp))</f>
        <v/>
      </c>
      <c r="N48" s="39">
        <f>IF(OR(N$4&lt;1,N$4&gt;hold_period_yrs),0,MAX(0,MAX(0,N38)-MAX(0,(-C38)-SUM(D47:M47)))*(1-gp_lp_split_lp))</f>
        <v/>
      </c>
      <c r="O48" s="39">
        <f>IF(OR(O$4&lt;1,O$4&gt;hold_period_yrs),0,MAX(0,MAX(0,O38)-MAX(0,(-C38)-SUM(D47:N47)))*(1-gp_lp_split_lp))</f>
        <v/>
      </c>
      <c r="P48" s="39">
        <f>IF(OR(P$4&lt;1,P$4&gt;hold_period_yrs),0,MAX(0,MAX(0,P38)-MAX(0,(-C38)-SUM(D47:O47)))*(1-gp_lp_split_lp))</f>
        <v/>
      </c>
      <c r="Q48" s="39">
        <f>IF(OR(Q$4&lt;1,Q$4&gt;hold_period_yrs),0,MAX(0,MAX(0,Q38)-MAX(0,(-C38)-SUM(D47:P47)))*(1-gp_lp_split_lp))</f>
        <v/>
      </c>
      <c r="R48" s="39">
        <f>IF(OR(R$4&lt;1,R$4&gt;hold_period_yrs),0,MAX(0,MAX(0,R38)-MAX(0,(-C38)-SUM(D47:Q47)))*(1-gp_lp_split_lp))</f>
        <v/>
      </c>
    </row>
  </sheetData>
  <printOptions horizontalCentered="0" verticalCentered="0" gridLines="0"/>
  <pageMargins left="0.35" right="0.35" top="0.7" bottom="0.45" header="0.3" footer="0.25"/>
  <pageSetup orientation="landscape" paperSize="1" fitToHeight="0" fitToWidth="1"/>
  <headerFooter>
    <oddHeader>&amp;LSean Dillard  |  www.seandillard.com&amp;RProperty Analysis</oddHeader>
    <oddFooter>&amp;LCashflow&amp;CConfidential&amp;RPage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B1:F34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26" customWidth="1" min="4" max="4"/>
    <col width="12" customWidth="1" min="5" max="5"/>
    <col width="48" customWidth="1" min="6" max="6"/>
  </cols>
  <sheetData>
    <row r="1">
      <c r="B1" s="1" t="inlineStr">
        <is>
          <t>Sources &amp; Provenance</t>
        </is>
      </c>
    </row>
    <row r="2"/>
    <row r="3">
      <c r="B3" s="29" t="inlineStr">
        <is>
          <t>Where every load-bearing number came from. Filled by the Python engine on each run. The Excel model uses values from the Inputs tab; this tab is the audit trail.</t>
        </is>
      </c>
    </row>
    <row r="4"/>
    <row r="5">
      <c r="B5" s="22" t="inlineStr">
        <is>
          <t>Field</t>
        </is>
      </c>
      <c r="C5" s="22" t="inlineStr">
        <is>
          <t>Value</t>
        </is>
      </c>
      <c r="D5" s="22" t="inlineStr">
        <is>
          <t>Source</t>
        </is>
      </c>
      <c r="E5" s="22" t="inlineStr">
        <is>
          <t>Confidence</t>
        </is>
      </c>
      <c r="F5" s="22" t="inlineStr">
        <is>
          <t>Note</t>
        </is>
      </c>
    </row>
    <row r="6">
      <c r="B6" s="5" t="inlineStr">
        <is>
          <t>Inputs</t>
        </is>
      </c>
    </row>
    <row r="7">
      <c r="B7" s="12" t="inlineStr">
        <is>
          <t>Property Address</t>
        </is>
      </c>
      <c r="C7" s="17" t="inlineStr">
        <is>
          <t>1417 S Canal St, Pittsburgh, PA 15215</t>
        </is>
      </c>
      <c r="D7" s="28" t="inlineStr">
        <is>
          <t>prompt</t>
        </is>
      </c>
      <c r="E7" s="28" t="inlineStr">
        <is>
          <t>high</t>
        </is>
      </c>
      <c r="F7" s="28" t="inlineStr"/>
    </row>
    <row r="8">
      <c r="B8" s="12" t="inlineStr">
        <is>
          <t>ZIP Code</t>
        </is>
      </c>
      <c r="C8" s="17" t="inlineStr">
        <is>
          <t>15215</t>
        </is>
      </c>
      <c r="D8" s="28" t="inlineStr">
        <is>
          <t>parsed from address</t>
        </is>
      </c>
      <c r="E8" s="28" t="inlineStr">
        <is>
          <t>high</t>
        </is>
      </c>
      <c r="F8" s="28" t="inlineStr"/>
    </row>
    <row r="9">
      <c r="B9" s="12" t="inlineStr">
        <is>
          <t>Bedrooms</t>
        </is>
      </c>
      <c r="C9" s="17" t="n">
        <v>3</v>
      </c>
      <c r="D9" s="28" t="inlineStr">
        <is>
          <t>override</t>
        </is>
      </c>
      <c r="E9" s="28" t="inlineStr">
        <is>
          <t>high</t>
        </is>
      </c>
      <c r="F9" s="28" t="inlineStr"/>
    </row>
    <row r="10">
      <c r="B10" s="12" t="inlineStr">
        <is>
          <t>Bathrooms</t>
        </is>
      </c>
      <c r="C10" s="17" t="n">
        <v>1</v>
      </c>
      <c r="D10" s="28" t="inlineStr">
        <is>
          <t>default</t>
        </is>
      </c>
      <c r="E10" s="28" t="inlineStr">
        <is>
          <t>low</t>
        </is>
      </c>
      <c r="F10" s="28" t="inlineStr"/>
    </row>
    <row r="11">
      <c r="B11" s="12" t="inlineStr">
        <is>
          <t>Purchase Price</t>
        </is>
      </c>
      <c r="C11" s="17" t="n">
        <v>130000</v>
      </c>
      <c r="D11" s="28" t="inlineStr">
        <is>
          <t>wholesaler quote</t>
        </is>
      </c>
      <c r="E11" s="28" t="inlineStr">
        <is>
          <t>high</t>
        </is>
      </c>
      <c r="F11" s="28" t="inlineStr"/>
    </row>
    <row r="12">
      <c r="B12" s="12" t="inlineStr">
        <is>
          <t>ARV</t>
        </is>
      </c>
      <c r="C12" s="17" t="n">
        <v>255000</v>
      </c>
      <c r="D12" s="28" t="inlineStr">
        <is>
          <t>Joe override</t>
        </is>
      </c>
      <c r="E12" s="28" t="inlineStr">
        <is>
          <t>high</t>
        </is>
      </c>
      <c r="F12" s="28" t="inlineStr"/>
    </row>
    <row r="13">
      <c r="B13" s="12" t="inlineStr">
        <is>
          <t>Rehab Cost</t>
        </is>
      </c>
      <c r="C13" s="17" t="n">
        <v>55000</v>
      </c>
      <c r="D13" s="28" t="inlineStr">
        <is>
          <t>Joe estimate</t>
        </is>
      </c>
      <c r="E13" s="28" t="inlineStr">
        <is>
          <t>medium</t>
        </is>
      </c>
      <c r="F13" s="28" t="inlineStr"/>
    </row>
    <row r="14">
      <c r="B14" s="12" t="inlineStr">
        <is>
          <t>Monthly Rent (underwriting)</t>
        </is>
      </c>
      <c r="C14" s="17" t="n">
        <v>2500</v>
      </c>
      <c r="D14" s="28" t="inlineStr">
        <is>
          <t>Joe override</t>
        </is>
      </c>
      <c r="E14" s="28" t="inlineStr">
        <is>
          <t>high</t>
        </is>
      </c>
      <c r="F14" s="28" t="inlineStr">
        <is>
          <t>Section 8 voucher; FMR-fallback would be $1,670 for 3BR ZCTA 15215.</t>
        </is>
      </c>
    </row>
    <row r="15">
      <c r="B15" s="12" t="inlineStr">
        <is>
          <t>Market Rent (comparable)</t>
        </is>
      </c>
      <c r="C15" s="17" t="n">
        <v>2300</v>
      </c>
      <c r="D15" s="28" t="inlineStr">
        <is>
          <t>RentCast comp</t>
        </is>
      </c>
      <c r="E15" s="28" t="inlineStr">
        <is>
          <t>medium</t>
        </is>
      </c>
      <c r="F15" s="28" t="inlineStr"/>
    </row>
    <row r="16">
      <c r="B16" s="12" t="inlineStr">
        <is>
          <t>Property Tax (annual)</t>
        </is>
      </c>
      <c r="C16" s="17" t="n">
        <v>3249</v>
      </c>
      <c r="D16" s="28" t="inlineStr">
        <is>
          <t>Joe override</t>
        </is>
      </c>
      <c r="E16" s="28" t="inlineStr">
        <is>
          <t>high</t>
        </is>
      </c>
      <c r="F16" s="28" t="inlineStr"/>
    </row>
    <row r="17">
      <c r="B17" s="12" t="inlineStr">
        <is>
          <t>Insurance (annual)</t>
        </is>
      </c>
      <c r="C17" s="17" t="n">
        <v>1020</v>
      </c>
      <c r="D17" s="28" t="inlineStr">
        <is>
          <t>industry default</t>
        </is>
      </c>
      <c r="E17" s="28" t="inlineStr">
        <is>
          <t>medium</t>
        </is>
      </c>
      <c r="F17" s="28" t="inlineStr"/>
    </row>
    <row r="18"/>
    <row r="19">
      <c r="B19" s="5" t="inlineStr">
        <is>
          <t>Reference Data Freshness</t>
        </is>
      </c>
    </row>
    <row r="20">
      <c r="B20" s="12" t="inlineStr">
        <is>
          <t>HUD FMR vintage</t>
        </is>
      </c>
      <c r="C20" s="42" t="inlineStr">
        <is>
          <t>FY2026</t>
        </is>
      </c>
      <c r="F20" s="28" t="inlineStr">
        <is>
          <t>FY of HUD FMR database in use.</t>
        </is>
      </c>
    </row>
    <row r="21">
      <c r="B21" s="12" t="inlineStr">
        <is>
          <t>HUD SAFMR vintage</t>
        </is>
      </c>
      <c r="C21" s="42" t="inlineStr"/>
      <c r="F21" s="28" t="inlineStr">
        <is>
          <t>FY of HUD SAFMR database (if used).</t>
        </is>
      </c>
    </row>
    <row r="22">
      <c r="B22" s="12" t="inlineStr">
        <is>
          <t>Geo (Census ZCTA-county)</t>
        </is>
      </c>
      <c r="C22" s="42" t="inlineStr">
        <is>
          <t>Census 2020 ZCTA-county</t>
        </is>
      </c>
      <c r="F22" s="28" t="inlineStr">
        <is>
          <t>Census ZCTA-county vintage.</t>
        </is>
      </c>
    </row>
    <row r="23">
      <c r="B23" s="12" t="inlineStr">
        <is>
          <t>WPRDC (Allegheny County)</t>
        </is>
      </c>
      <c r="C23" s="42" t="inlineStr">
        <is>
          <t>Allegheny County (live ArcGIS)</t>
        </is>
      </c>
      <c r="F23" s="28" t="inlineStr">
        <is>
          <t>WPRDC parcel data tax-year and as-of date.</t>
        </is>
      </c>
    </row>
    <row r="24">
      <c r="B24" s="12" t="inlineStr">
        <is>
          <t>Allegheny millage tax year</t>
        </is>
      </c>
      <c r="C24" s="42" t="inlineStr">
        <is>
          <t>TAX_YEAR=2025</t>
        </is>
      </c>
      <c r="F24" s="28" t="inlineStr">
        <is>
          <t>Local millage rate vintage.</t>
        </is>
      </c>
    </row>
    <row r="25">
      <c r="B25" s="12" t="inlineStr">
        <is>
          <t>RentCast mode</t>
        </is>
      </c>
      <c r="C25" s="42" t="inlineStr">
        <is>
          <t>off</t>
        </is>
      </c>
      <c r="F25" s="28" t="inlineStr">
        <is>
          <t>off / fixture / live.</t>
        </is>
      </c>
    </row>
    <row r="26">
      <c r="B26" s="12" t="inlineStr">
        <is>
          <t>Report generated at</t>
        </is>
      </c>
      <c r="C26" s="42" t="inlineStr">
        <is>
          <t>2026-05-18 11:43:53</t>
        </is>
      </c>
      <c r="F26" s="28" t="inlineStr">
        <is>
          <t>Run timestamp.</t>
        </is>
      </c>
    </row>
    <row r="27"/>
    <row r="28">
      <c r="B28" s="5" t="inlineStr">
        <is>
          <t>Blockers / Warnings</t>
        </is>
      </c>
    </row>
    <row r="29">
      <c r="B29" s="42" t="inlineStr"/>
    </row>
    <row r="30">
      <c r="B30" s="42" t="inlineStr"/>
    </row>
    <row r="31">
      <c r="B31" s="42" t="inlineStr"/>
    </row>
    <row r="32">
      <c r="B32" s="42" t="inlineStr"/>
    </row>
    <row r="33">
      <c r="B33" s="42" t="inlineStr"/>
    </row>
    <row r="34">
      <c r="B34" s="42" t="inlineStr"/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&amp;LSources&amp;CConfidential&amp;RPage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B1:F35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22" customWidth="1" min="3" max="3"/>
    <col width="22" customWidth="1" min="4" max="4"/>
    <col width="12" customWidth="1" min="5" max="5"/>
    <col width="52" customWidth="1" min="6" max="6"/>
  </cols>
  <sheetData>
    <row r="1">
      <c r="B1" s="1" t="inlineStr">
        <is>
          <t>Audit Checks</t>
        </is>
      </c>
    </row>
    <row r="3">
      <c r="B3" s="22" t="inlineStr">
        <is>
          <t>Check</t>
        </is>
      </c>
      <c r="C3" s="22" t="inlineStr">
        <is>
          <t>Expected</t>
        </is>
      </c>
      <c r="D3" s="22" t="inlineStr">
        <is>
          <t>Actual</t>
        </is>
      </c>
      <c r="E3" s="22" t="inlineStr">
        <is>
          <t>Status</t>
        </is>
      </c>
      <c r="F3" s="22" t="inlineStr">
        <is>
          <t>Notes</t>
        </is>
      </c>
    </row>
    <row r="4">
      <c r="B4" s="5" t="inlineStr">
        <is>
          <t>A. Workbook Health</t>
        </is>
      </c>
      <c r="C4" s="6" t="n"/>
      <c r="D4" s="6" t="n"/>
      <c r="E4" s="6" t="n"/>
      <c r="F4" s="6" t="n"/>
    </row>
    <row r="5">
      <c r="B5" s="2" t="inlineStr">
        <is>
          <t>Purchase price is positive</t>
        </is>
      </c>
      <c r="C5" s="43" t="inlineStr">
        <is>
          <t>&gt;0</t>
        </is>
      </c>
      <c r="D5" s="13">
        <f>purchase_price</f>
        <v/>
      </c>
      <c r="E5" s="25">
        <f>IF(purchase_price&gt;0,"PASS","FAIL")</f>
        <v/>
      </c>
      <c r="F5" s="28" t="inlineStr">
        <is>
          <t>Purchase price must be a positive number.</t>
        </is>
      </c>
    </row>
    <row r="6">
      <c r="B6" s="2" t="inlineStr">
        <is>
          <t>ARV is positive</t>
        </is>
      </c>
      <c r="C6" s="43" t="inlineStr">
        <is>
          <t>&gt;0</t>
        </is>
      </c>
      <c r="D6" s="13">
        <f>arv</f>
        <v/>
      </c>
      <c r="E6" s="25">
        <f>IF(arv&gt;0,"PASS","FAIL")</f>
        <v/>
      </c>
      <c r="F6" s="28" t="inlineStr">
        <is>
          <t>After-repair value must be a positive number.</t>
        </is>
      </c>
    </row>
    <row r="7">
      <c r="B7" s="2" t="inlineStr">
        <is>
          <t>Monthly rent is positive</t>
        </is>
      </c>
      <c r="C7" s="43" t="inlineStr">
        <is>
          <t>&gt;0</t>
        </is>
      </c>
      <c r="D7" s="13">
        <f>monthly_rent</f>
        <v/>
      </c>
      <c r="E7" s="25">
        <f>IF(monthly_rent&gt;0,"PASS","FAIL")</f>
        <v/>
      </c>
      <c r="F7" s="28" t="inlineStr">
        <is>
          <t>Rent must be &gt; 0 for the model to produce returns.</t>
        </is>
      </c>
    </row>
    <row r="8">
      <c r="B8" s="2" t="inlineStr">
        <is>
          <t>Hold period is at least 1 year</t>
        </is>
      </c>
      <c r="C8" s="43" t="inlineStr">
        <is>
          <t>&gt;=1</t>
        </is>
      </c>
      <c r="D8" s="13">
        <f>hold_period_yrs</f>
        <v/>
      </c>
      <c r="E8" s="25">
        <f>IF(hold_period_yrs&gt;=1,"PASS","FAIL")</f>
        <v/>
      </c>
      <c r="F8" s="28" t="inlineStr">
        <is>
          <t>Cannot model a zero-year hold.</t>
        </is>
      </c>
    </row>
    <row r="9">
      <c r="B9" s="2" t="inlineStr">
        <is>
          <t>Down payment between 0 and 100%</t>
        </is>
      </c>
      <c r="C9" s="43" t="inlineStr">
        <is>
          <t>0 to 1</t>
        </is>
      </c>
      <c r="D9" s="14">
        <f>down_payment_pct</f>
        <v/>
      </c>
      <c r="E9" s="25">
        <f>IF(AND(down_payment_pct&gt;=0,down_payment_pct&lt;=1),"PASS","FAIL")</f>
        <v/>
      </c>
      <c r="F9" s="28" t="inlineStr">
        <is>
          <t>1.0 = all cash; 0.20 = 20% down.</t>
        </is>
      </c>
    </row>
    <row r="10">
      <c r="B10" s="2" t="inlineStr">
        <is>
          <t>Refi LTV between 0 and 90%</t>
        </is>
      </c>
      <c r="C10" s="43" t="inlineStr">
        <is>
          <t>0 to 0.90</t>
        </is>
      </c>
      <c r="D10" s="14">
        <f>refi_ltv</f>
        <v/>
      </c>
      <c r="E10" s="25">
        <f>IF(AND(refi_ltv&gt;=0,refi_ltv&lt;=0.90),"PASS","WARN")</f>
        <v/>
      </c>
      <c r="F10" s="28" t="inlineStr">
        <is>
          <t>&gt;90% LTV is unusual for SFH refi; verify lender.</t>
        </is>
      </c>
    </row>
    <row r="12">
      <c r="B12" s="5" t="inlineStr">
        <is>
          <t>B. Sign Convention</t>
        </is>
      </c>
      <c r="C12" s="6" t="n"/>
      <c r="D12" s="6" t="n"/>
      <c r="E12" s="6" t="n"/>
      <c r="F12" s="6" t="n"/>
    </row>
    <row r="13">
      <c r="B13" s="2" t="inlineStr">
        <is>
          <t>Year 1 Gross Rent is positive</t>
        </is>
      </c>
      <c r="C13" s="43" t="inlineStr">
        <is>
          <t>&gt;0</t>
        </is>
      </c>
      <c r="D13" s="13">
        <f>'Cashflow'!D7</f>
        <v/>
      </c>
      <c r="E13" s="25">
        <f>IF('Cashflow'!D7&gt;0,"PASS","FAIL")</f>
        <v/>
      </c>
      <c r="F13" s="28" t="inlineStr">
        <is>
          <t>Rent comes through as positive cash inflow.</t>
        </is>
      </c>
    </row>
    <row r="14">
      <c r="B14" s="2" t="inlineStr">
        <is>
          <t>Year 1 Property Tax is negative (or zero)</t>
        </is>
      </c>
      <c r="C14" s="43" t="inlineStr">
        <is>
          <t>&lt;=0</t>
        </is>
      </c>
      <c r="D14" s="13">
        <f>'Cashflow'!D17</f>
        <v/>
      </c>
      <c r="E14" s="25">
        <f>IF('Cashflow'!D17&lt;=0,"PASS","FAIL")</f>
        <v/>
      </c>
      <c r="F14" s="28" t="inlineStr">
        <is>
          <t>Expenses display as negative.</t>
        </is>
      </c>
    </row>
    <row r="15">
      <c r="B15" s="2" t="inlineStr">
        <is>
          <t>Year 1 Debt Service is negative or zero</t>
        </is>
      </c>
      <c r="C15" s="43" t="inlineStr">
        <is>
          <t>&lt;=0</t>
        </is>
      </c>
      <c r="D15" s="13">
        <f>'Cashflow'!D29</f>
        <v/>
      </c>
      <c r="E15" s="25">
        <f>IF('Cashflow'!D29&lt;=0,"PASS","FAIL")</f>
        <v/>
      </c>
      <c r="F15" s="28" t="inlineStr">
        <is>
          <t>Debt payments are cash outflows.</t>
        </is>
      </c>
    </row>
    <row r="16">
      <c r="B16" s="2" t="inlineStr">
        <is>
          <t>Year 0 cash flow is negative (capital outlay)</t>
        </is>
      </c>
      <c r="C16" s="43" t="inlineStr">
        <is>
          <t>&lt;0</t>
        </is>
      </c>
      <c r="D16" s="13">
        <f>'Cashflow'!C38</f>
        <v/>
      </c>
      <c r="E16" s="25">
        <f>IF('Cashflow'!C38&lt;0,"PASS","FAIL")</f>
        <v/>
      </c>
      <c r="F16" s="28" t="inlineStr">
        <is>
          <t>Acquisition is a cash outflow.</t>
        </is>
      </c>
    </row>
    <row r="18">
      <c r="B18" s="5" t="inlineStr">
        <is>
          <t>C. Tie-Outs</t>
        </is>
      </c>
      <c r="C18" s="6" t="n"/>
      <c r="D18" s="6" t="n"/>
      <c r="E18" s="6" t="n"/>
      <c r="F18" s="6" t="n"/>
    </row>
    <row r="19">
      <c r="B19" s="2" t="inlineStr">
        <is>
          <t>Year 1 NOI ties to EGI + OpEx</t>
        </is>
      </c>
      <c r="C19" s="13">
        <f>ROUND('Cashflow'!D9+'Cashflow'!D12+'Cashflow'!D13+'Cashflow'!D14+'Cashflow'!D17+'Cashflow'!D18+'Cashflow'!D19+'Cashflow'!D20,2)</f>
        <v/>
      </c>
      <c r="D19" s="13">
        <f>ROUND('Cashflow'!D22,2)</f>
        <v/>
      </c>
      <c r="E19" s="25">
        <f>IF(ROUND('Cashflow'!D22,2)=ROUND('Cashflow'!D9+'Cashflow'!D12+'Cashflow'!D13+'Cashflow'!D14+'Cashflow'!D17+'Cashflow'!D18+'Cashflow'!D19+'Cashflow'!D20,2),"PASS","FAIL")</f>
        <v/>
      </c>
      <c r="F19" s="28" t="inlineStr">
        <is>
          <t>Year 1 NOI must equal EGI plus all operating expenses.</t>
        </is>
      </c>
    </row>
    <row r="20">
      <c r="B20" s="2" t="inlineStr">
        <is>
          <t>Year 1 Operating Cash Flow = NOI + Debt Service</t>
        </is>
      </c>
      <c r="C20" s="13">
        <f>ROUND('Cashflow'!D22+'Cashflow'!D29,2)</f>
        <v/>
      </c>
      <c r="D20" s="13">
        <f>ROUND('Cashflow'!D31,2)</f>
        <v/>
      </c>
      <c r="E20" s="25">
        <f>IF(ROUND('Cashflow'!D31,2)=ROUND('Cashflow'!D22+'Cashflow'!D29,2),"PASS","FAIL")</f>
        <v/>
      </c>
      <c r="F20" s="28" t="inlineStr">
        <is>
          <t>Operating CF is NOI net of debt service (no capital flows).</t>
        </is>
      </c>
    </row>
    <row r="21">
      <c r="B21" s="2" t="inlineStr">
        <is>
          <t>Year 1 Equity Value = Property Value − Loan Balance</t>
        </is>
      </c>
      <c r="C21" s="13">
        <f>ROUND('Cashflow'!D42-'Cashflow'!D43,2)</f>
        <v/>
      </c>
      <c r="D21" s="13">
        <f>ROUND('Cashflow'!D44,2)</f>
        <v/>
      </c>
      <c r="E21" s="25">
        <f>IF(ROUND('Cashflow'!D44,2)=ROUND('Cashflow'!D42-'Cashflow'!D43,2),"PASS","FAIL")</f>
        <v/>
      </c>
      <c r="F21" s="28" t="inlineStr">
        <is>
          <t>Equity = Property Value minus what's still owed to the lender.</t>
        </is>
      </c>
    </row>
    <row r="22">
      <c r="B22" s="2" t="inlineStr">
        <is>
          <t>Year 0 acquisition cash matches inputs</t>
        </is>
      </c>
      <c r="C22" s="13">
        <f>-(purchase_price*down_payment_pct + purchase_price*closing_cost_pct + rehab_cost + wholesaler_fee + inspection_fee + appraisal_fee + (IFERROR(-PMT(interest_rate/12,loan_term_yrs*12,purchase_price*(1-down_payment_pct)),0)+property_tax_annual/12+insurance_annual/12+holding_utilities_monthly+utilities_annual/12)*holding_months)</f>
        <v/>
      </c>
      <c r="D22" s="13">
        <f>'Cashflow'!C34</f>
        <v/>
      </c>
      <c r="E22" s="25">
        <f>IF(ROUND('Cashflow'!C34,2)=ROUND(-(purchase_price*down_payment_pct + purchase_price*closing_cost_pct + rehab_cost + wholesaler_fee + inspection_fee + appraisal_fee + (IFERROR(-PMT(interest_rate/12,loan_term_yrs*12,purchase_price*(1-down_payment_pct)),0)+property_tax_annual/12+insurance_annual/12+holding_utilities_monthly+utilities_annual/12)*holding_months),2),"PASS","FAIL")</f>
        <v/>
      </c>
      <c r="F22" s="28" t="inlineStr">
        <is>
          <t>Year 0 outflow = down + closing + rehab + fees + carry.</t>
        </is>
      </c>
    </row>
    <row r="24">
      <c r="B24" s="5" t="inlineStr">
        <is>
          <t>D. Economic Sanity</t>
        </is>
      </c>
      <c r="C24" s="6" t="n"/>
      <c r="D24" s="6" t="n"/>
      <c r="E24" s="6" t="n"/>
      <c r="F24" s="6" t="n"/>
    </row>
    <row r="25">
      <c r="B25" s="2" t="inlineStr">
        <is>
          <t>Refi cash-out is non-negative (or refi disabled)</t>
        </is>
      </c>
      <c r="C25" s="43" t="inlineStr">
        <is>
          <t>&gt;=0</t>
        </is>
      </c>
      <c r="D25" s="13">
        <f>IF(refi_year=0,0,SUM('Cashflow'!C35:'Cashflow'!R35))</f>
        <v/>
      </c>
      <c r="E25" s="25">
        <f>IF(OR(refi_year=0,SUM('Cashflow'!C35:'Cashflow'!R35)&gt;=0),"PASS","WARN")</f>
        <v/>
      </c>
      <c r="F25" s="28" t="inlineStr">
        <is>
          <t>If refi cash-out is negative, the refi is uneconomic.</t>
        </is>
      </c>
    </row>
    <row r="26">
      <c r="B26" s="2" t="inlineStr">
        <is>
          <t>Exit proceeds are positive</t>
        </is>
      </c>
      <c r="C26" s="43" t="inlineStr">
        <is>
          <t>&gt;0</t>
        </is>
      </c>
      <c r="D26" s="13">
        <f>SUM('Cashflow'!C36:'Cashflow'!R36)</f>
        <v/>
      </c>
      <c r="E26" s="25">
        <f>IF(SUM('Cashflow'!C36:'Cashflow'!R36)&gt;0,"PASS","WARN")</f>
        <v/>
      </c>
      <c r="F26" s="28" t="inlineStr">
        <is>
          <t>Net of debt and cost of sale, the exit should be positive.</t>
        </is>
      </c>
    </row>
    <row r="27">
      <c r="B27" s="2" t="inlineStr">
        <is>
          <t>At least one year of DSCR ≥ min threshold</t>
        </is>
      </c>
      <c r="C27" s="45">
        <f>dscr_min</f>
        <v/>
      </c>
      <c r="D27" s="45">
        <f>IFERROR(MIN('Cashflow'!D39:'Cashflow'!R39),"n/a")</f>
        <v/>
      </c>
      <c r="E27" s="25">
        <f>IF(COUNT('Cashflow'!D39:'Cashflow'!R39)=0,"WARN",IF(MIN('Cashflow'!D39:'Cashflow'!R39)&gt;=dscr_min,"PASS","FAIL"))</f>
        <v/>
      </c>
      <c r="F27" s="28" t="inlineStr">
        <is>
          <t>At least one operating year must meet the DSCR threshold.</t>
        </is>
      </c>
    </row>
    <row r="28">
      <c r="B28" s="2" t="inlineStr">
        <is>
          <t>Year-N property value &gt; Purchase Price</t>
        </is>
      </c>
      <c r="C28" s="43" t="inlineStr">
        <is>
          <t>&gt;purchase_price</t>
        </is>
      </c>
      <c r="D28" s="13">
        <f>INDEX('Cashflow'!C42:'Cashflow'!R42,hold_period_yrs+1)</f>
        <v/>
      </c>
      <c r="E28" s="25">
        <f>IF(INDEX('Cashflow'!C42:'Cashflow'!R42,hold_period_yrs+1)&gt;purchase_price,"PASS","WARN")</f>
        <v/>
      </c>
      <c r="F28" s="28" t="inlineStr">
        <is>
          <t>Otherwise the hold has produced no appreciation.</t>
        </is>
      </c>
    </row>
    <row r="30">
      <c r="B30" s="5" t="inlineStr">
        <is>
          <t>E. Rent &amp; Market Sanity</t>
        </is>
      </c>
      <c r="C30" s="6" t="n"/>
      <c r="D30" s="6" t="n"/>
      <c r="E30" s="6" t="n"/>
      <c r="F30" s="6" t="n"/>
    </row>
    <row r="31">
      <c r="B31" s="2" t="inlineStr">
        <is>
          <t>Underwriting rent within 50% of market comparable</t>
        </is>
      </c>
      <c r="C31" s="43" t="inlineStr">
        <is>
          <t>|diff| &lt; 50%</t>
        </is>
      </c>
      <c r="D31" s="14">
        <f>IFERROR(IF(market_rent=0,"n/a — no market comp",(market_rent-monthly_rent)/monthly_rent),"n/a")</f>
        <v/>
      </c>
      <c r="E31" s="25">
        <f>IF(market_rent=0,"WARN",IFERROR(IF(ABS((market_rent-monthly_rent)/monthly_rent)&lt;0.5,"PASS","WARN"),"WARN"))</f>
        <v/>
      </c>
      <c r="F31" s="28" t="inlineStr">
        <is>
          <t>Large variance suggests rent override needs review.</t>
        </is>
      </c>
    </row>
    <row r="33">
      <c r="B33" s="5" t="inlineStr">
        <is>
          <t>F. Threshold Sanity</t>
        </is>
      </c>
      <c r="C33" s="6" t="n"/>
      <c r="D33" s="6" t="n"/>
      <c r="E33" s="6" t="n"/>
      <c r="F33" s="6" t="n"/>
    </row>
    <row r="34">
      <c r="B34" s="2" t="inlineStr">
        <is>
          <t>Cap rate threshold is reasonable (3-15%)</t>
        </is>
      </c>
      <c r="C34" s="43" t="inlineStr">
        <is>
          <t>0.03 to 0.15</t>
        </is>
      </c>
      <c r="D34" s="14">
        <f>cap_rate_min</f>
        <v/>
      </c>
      <c r="E34" s="25">
        <f>IF(AND(cap_rate_min&gt;=0.03,cap_rate_min&lt;=0.15),"PASS","WARN")</f>
        <v/>
      </c>
      <c r="F34" s="28" t="inlineStr">
        <is>
          <t>Most SFH investors target 7-10%.</t>
        </is>
      </c>
    </row>
    <row r="35">
      <c r="B35" s="2" t="inlineStr">
        <is>
          <t>DSCR threshold is reasonable (1.0-1.5x)</t>
        </is>
      </c>
      <c r="C35" s="43" t="inlineStr">
        <is>
          <t>1.0 to 1.5</t>
        </is>
      </c>
      <c r="D35" s="45">
        <f>dscr_min</f>
        <v/>
      </c>
      <c r="E35" s="25">
        <f>IF(AND(dscr_min&gt;=1.0,dscr_min&lt;=1.5),"PASS","WARN")</f>
        <v/>
      </c>
      <c r="F35" s="28" t="inlineStr">
        <is>
          <t>Lenders typically require 1.20-1.25x DSCR.</t>
        </is>
      </c>
    </row>
  </sheetData>
  <conditionalFormatting sqref="E1:E36">
    <cfRule type="cellIs" priority="1" operator="equal" dxfId="0">
      <formula>"PASS"</formula>
    </cfRule>
    <cfRule type="cellIs" priority="2" operator="equal" dxfId="2">
      <formula>"WARN"</formula>
    </cfRule>
    <cfRule type="cellIs" priority="3" operator="equal" dxfId="1">
      <formula>"FAIL"</formula>
    </cfRule>
  </conditionalFormatting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&amp;LAudit&amp;CConfidential&amp;RPage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Sean Dillard</dc:creator>
  <dc:title xmlns:dc="http://purl.org/dc/elements/1.1/">Single-Family Home Proforma — Section 8 (V2)</dc:title>
  <dc:description xmlns:dc="http://purl.org/dc/elements/1.1/">Property analysis underwriting model. Built by Sean Dillard. Joe Berlin engagement, V2 2026.</dc:description>
  <dcterms:created xmlns:dcterms="http://purl.org/dc/terms/" xmlns:xsi="http://www.w3.org/2001/XMLSchema-instance" xsi:type="dcterms:W3CDTF">2026-05-18T16:42:49Z</dcterms:created>
  <dcterms:modified xmlns:dcterms="http://purl.org/dc/terms/" xmlns:xsi="http://www.w3.org/2001/XMLSchema-instance" xsi:type="dcterms:W3CDTF">2026-05-18T16:43:53Z</dcterms:modified>
  <cp:lastModifiedBy>Sean Dillard</cp:lastModifiedBy>
</cp:coreProperties>
</file>