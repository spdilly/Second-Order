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Audit" sheetId="4" state="visible" r:id="rId4"/>
  </sheets>
  <definedNames>
    <definedName name="address">'Inputs'!$C$6:$C$6</definedName>
    <definedName name="zip">'Inputs'!$C$7:$C$7</definedName>
    <definedName name="beds">'Inputs'!$C$8:$C$8</definedName>
    <definedName name="baths">'Inputs'!$C$9:$C$9</definedName>
    <definedName name="purchase_price">'Inputs'!$C$12:$C$12</definedName>
    <definedName name="arv">'Inputs'!$C$13:$C$13</definedName>
    <definedName name="rehab_cost">'Inputs'!$C$14:$C$14</definedName>
    <definedName name="closing_cost_pct">'Inputs'!$C$15:$C$15</definedName>
    <definedName name="holding_months">'Inputs'!$C$16:$C$16</definedName>
    <definedName name="down_payment_pct">'Inputs'!$C$19:$C$19</definedName>
    <definedName name="interest_rate">'Inputs'!$C$20:$C$20</definedName>
    <definedName name="loan_term_yrs">'Inputs'!$C$21:$C$21</definedName>
    <definedName name="refi_year">'Inputs'!$C$24:$C$24</definedName>
    <definedName name="refi_ltv">'Inputs'!$C$25:$C$25</definedName>
    <definedName name="refi_interest_rate">'Inputs'!$C$26:$C$26</definedName>
    <definedName name="refi_term_yrs">'Inputs'!$C$27:$C$27</definedName>
    <definedName name="refi_closing_cost_pct">'Inputs'!$C$28:$C$28</definedName>
    <definedName name="monthly_rent">'Inputs'!$C$31:$C$31</definedName>
    <definedName name="rent_growth">'Inputs'!$C$32:$C$32</definedName>
    <definedName name="vacancy_rate">'Inputs'!$C$33:$C$33</definedName>
    <definedName name="management_pct">'Inputs'!$C$36:$C$36</definedName>
    <definedName name="maintenance_pct">'Inputs'!$C$37:$C$37</definedName>
    <definedName name="capex_reserve_pct">'Inputs'!$C$38:$C$38</definedName>
    <definedName name="property_tax_annual">'Inputs'!$C$41:$C$41</definedName>
    <definedName name="insurance_annual">'Inputs'!$C$42:$C$42</definedName>
    <definedName name="utilities_annual">'Inputs'!$C$43:$C$43</definedName>
    <definedName name="hoa_annual">'Inputs'!$C$44:$C$44</definedName>
    <definedName name="expense_growth">'Inputs'!$C$45:$C$45</definedName>
    <definedName name="hold_period_yrs">'Inputs'!$C$48:$C$48</definedName>
    <definedName name="exit_cap_rate">'Inputs'!$C$49:$C$49</definedName>
    <definedName name="cost_of_sale_pct">'Inputs'!$C$50:$C$50</definedName>
    <definedName name="cap_rate_min">'Inputs'!$C$53:$C$53</definedName>
    <definedName name="cash_on_cash_min">'Inputs'!$C$54:$C$54</definedName>
    <definedName name="dscr_min">'Inputs'!$C$55:$C$55</definedName>
    <definedName name="irr_min">'Inputs'!$C$56:$C$56</definedName>
    <definedName name="max_price_to_arv">'Inputs'!$C$57:$C$57</definedName>
    <definedName name="cf_year_header_row">'Cashflow'!$C$4:$C$4</definedName>
    <definedName name="_xlnm.Print_Titles" localSheetId="0">'Inputs'!$1:$4</definedName>
    <definedName name="_xlnm.Print_Titles" localSheetId="1">'Summary'!$1:$4</definedName>
    <definedName name="_xlnm.Print_Titles" localSheetId="2">'Cashflow'!$1:$4</definedName>
    <definedName name="_xlnm.Print_Titles" localSheetId="3">'Audit'!$1:$4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x"/>
  </numFmts>
  <fonts count="8">
    <font>
      <name val="Calibri"/>
      <family val="2"/>
      <color theme="1"/>
      <sz val="11"/>
      <scheme val="minor"/>
    </font>
    <font>
      <name val="Aptos"/>
      <b val="1"/>
      <color rgb="00000000"/>
      <sz val="14"/>
    </font>
    <font>
      <name val="Aptos"/>
      <i val="1"/>
      <color rgb="00808080"/>
      <sz val="10"/>
    </font>
    <font>
      <name val="Aptos"/>
      <b val="1"/>
      <color rgb="00000000"/>
      <sz val="10"/>
    </font>
    <font>
      <name val="Aptos"/>
      <color rgb="00000000"/>
      <sz val="10"/>
    </font>
    <font>
      <name val="Aptos"/>
      <color rgb="000070C0"/>
      <sz val="10"/>
    </font>
    <font>
      <name val="Aptos"/>
      <i val="1"/>
      <color rgb="00808080"/>
      <sz val="8"/>
    </font>
    <font>
      <name val="Aptos"/>
      <b val="1"/>
      <color rgb="00000000"/>
      <sz val="16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medium">
        <color rgb="00000000"/>
      </bottom>
    </border>
    <border/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2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  <xf numFmtId="3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 wrapText="1"/>
    </xf>
    <xf numFmtId="1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166" fontId="4" fillId="0" borderId="0" pivotButton="0" quotePrefix="0" xfId="0"/>
    <xf numFmtId="165" fontId="4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 vertical="center"/>
    </xf>
    <xf numFmtId="3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/>
    </xf>
    <xf numFmtId="3" fontId="3" fillId="0" borderId="4" applyAlignment="1" pivotButton="0" quotePrefix="0" xfId="0">
      <alignment horizontal="right" vertical="center"/>
    </xf>
    <xf numFmtId="10" fontId="0" fillId="0" borderId="0" pivotButton="0" quotePrefix="0" xfId="0"/>
    <xf numFmtId="166" fontId="0" fillId="0" borderId="0" pivotButton="0" quotePrefix="0" xfId="0"/>
    <xf numFmtId="49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ptos"/>
        <b val="1"/>
        <color rgb="00276749"/>
        <sz val="10"/>
      </font>
      <fill>
        <patternFill patternType="solid">
          <fgColor rgb="00C6F6D5"/>
          <bgColor rgb="00C6F6D5"/>
        </patternFill>
      </fill>
    </dxf>
    <dxf>
      <font>
        <name val="Aptos"/>
        <b val="1"/>
        <color rgb="00C05621"/>
        <sz val="10"/>
      </font>
      <fill>
        <patternFill patternType="solid">
          <fgColor rgb="00FEFCBF"/>
          <bgColor rgb="00FEFCBF"/>
        </patternFill>
      </fill>
    </dxf>
    <dxf>
      <font>
        <name val="Aptos"/>
        <b val="1"/>
        <color rgb="00C53030"/>
        <sz val="10"/>
      </font>
      <fill>
        <patternFill patternType="solid">
          <fgColor rgb="00FED7D7"/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D5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60" customWidth="1" min="4" max="4"/>
  </cols>
  <sheetData>
    <row r="1">
      <c r="B1" s="1" t="inlineStr">
        <is>
          <t>Property Analysis — Inputs</t>
        </is>
      </c>
    </row>
    <row r="3">
      <c r="B3" s="2" t="inlineStr">
        <is>
          <t>All inputs the model needs. Blue cells are editable. Skill writes only to this tab.</t>
        </is>
      </c>
    </row>
    <row r="5">
      <c r="B5" s="3" t="inlineStr">
        <is>
          <t>Property</t>
        </is>
      </c>
      <c r="C5" s="4" t="n"/>
      <c r="D5" s="4" t="n"/>
    </row>
    <row r="6">
      <c r="B6" s="5" t="inlineStr">
        <is>
          <t>Property Address</t>
        </is>
      </c>
      <c r="C6" s="6" t="inlineStr"/>
    </row>
    <row r="7">
      <c r="B7" s="5" t="inlineStr">
        <is>
          <t>ZIP Code</t>
        </is>
      </c>
      <c r="C7" s="6" t="inlineStr"/>
    </row>
    <row r="8">
      <c r="B8" s="5" t="inlineStr">
        <is>
          <t>Bedrooms</t>
        </is>
      </c>
      <c r="C8" s="7" t="n">
        <v>3</v>
      </c>
    </row>
    <row r="9">
      <c r="B9" s="5" t="inlineStr">
        <is>
          <t>Bathrooms</t>
        </is>
      </c>
      <c r="C9" s="8" t="n">
        <v>1</v>
      </c>
    </row>
    <row r="11">
      <c r="B11" s="3" t="inlineStr">
        <is>
          <t>Deal Particulars</t>
        </is>
      </c>
      <c r="C11" s="4" t="n"/>
      <c r="D11" s="4" t="n"/>
    </row>
    <row r="12">
      <c r="B12" s="5" t="inlineStr">
        <is>
          <t>Purchase Price</t>
        </is>
      </c>
      <c r="C12" s="7" t="n">
        <v>130000</v>
      </c>
    </row>
    <row r="13">
      <c r="B13" s="5" t="inlineStr">
        <is>
          <t>ARV (After-Repair Value)</t>
        </is>
      </c>
      <c r="C13" s="7" t="n">
        <v>255000</v>
      </c>
    </row>
    <row r="14">
      <c r="B14" s="5" t="inlineStr">
        <is>
          <t>Rehab Cost</t>
        </is>
      </c>
      <c r="C14" s="7" t="n">
        <v>55000</v>
      </c>
    </row>
    <row r="15">
      <c r="B15" s="5" t="inlineStr">
        <is>
          <t>Closing Cost (% of price)</t>
        </is>
      </c>
      <c r="C15" s="9" t="n">
        <v>0.06</v>
      </c>
    </row>
    <row r="16">
      <c r="B16" s="5" t="inlineStr">
        <is>
          <t>Holding Period (months)</t>
        </is>
      </c>
      <c r="C16" s="8" t="n">
        <v>3</v>
      </c>
    </row>
    <row r="18">
      <c r="B18" s="3" t="inlineStr">
        <is>
          <t>Financing — Acquisition</t>
        </is>
      </c>
      <c r="C18" s="4" t="n"/>
      <c r="D18" s="4" t="n"/>
    </row>
    <row r="19">
      <c r="B19" s="5" t="inlineStr">
        <is>
          <t>Down Payment (% of price)</t>
        </is>
      </c>
      <c r="C19" s="9" t="n">
        <v>1</v>
      </c>
      <c r="D19" s="10" t="inlineStr">
        <is>
          <t>1.0 = all cash; 0.20 = 20% down</t>
        </is>
      </c>
    </row>
    <row r="20">
      <c r="B20" s="5" t="inlineStr">
        <is>
          <t>Interest Rate</t>
        </is>
      </c>
      <c r="C20" s="11" t="n">
        <v>0.08500000000000001</v>
      </c>
    </row>
    <row r="21">
      <c r="B21" s="5" t="inlineStr">
        <is>
          <t>Loan Term (yrs)</t>
        </is>
      </c>
      <c r="C21" s="7" t="n">
        <v>30</v>
      </c>
    </row>
    <row r="23">
      <c r="B23" s="3" t="inlineStr">
        <is>
          <t>Financing — Refinance (BRRRR)</t>
        </is>
      </c>
      <c r="C23" s="4" t="n"/>
      <c r="D23" s="4" t="n"/>
    </row>
    <row r="24">
      <c r="B24" s="5" t="inlineStr">
        <is>
          <t>Refi Year (0 = no refi)</t>
        </is>
      </c>
      <c r="C24" s="7" t="n">
        <v>3</v>
      </c>
    </row>
    <row r="25">
      <c r="B25" s="5" t="inlineStr">
        <is>
          <t>Refi LTV (% of ARV)</t>
        </is>
      </c>
      <c r="C25" s="9" t="n">
        <v>0.75</v>
      </c>
    </row>
    <row r="26">
      <c r="B26" s="5" t="inlineStr">
        <is>
          <t>Refi Interest Rate</t>
        </is>
      </c>
      <c r="C26" s="11" t="n">
        <v>0.075</v>
      </c>
    </row>
    <row r="27">
      <c r="B27" s="5" t="inlineStr">
        <is>
          <t>Refi Term (yrs)</t>
        </is>
      </c>
      <c r="C27" s="7" t="n">
        <v>30</v>
      </c>
    </row>
    <row r="28">
      <c r="B28" s="5" t="inlineStr">
        <is>
          <t>Refi Closing Cost (% of loan)</t>
        </is>
      </c>
      <c r="C28" s="9" t="n">
        <v>0.04</v>
      </c>
    </row>
    <row r="30">
      <c r="B30" s="3" t="inlineStr">
        <is>
          <t>Operating — Rent</t>
        </is>
      </c>
      <c r="C30" s="4" t="n"/>
      <c r="D30" s="4" t="n"/>
    </row>
    <row r="31">
      <c r="B31" s="5" t="inlineStr">
        <is>
          <t>Monthly Rent (FMR or override)</t>
        </is>
      </c>
      <c r="C31" s="7" t="n">
        <v>1670</v>
      </c>
    </row>
    <row r="32">
      <c r="B32" s="5" t="inlineStr">
        <is>
          <t>Annual Rent Growth</t>
        </is>
      </c>
      <c r="C32" s="9" t="n">
        <v>0.03</v>
      </c>
      <c r="D32" s="10" t="inlineStr">
        <is>
          <t>Section 8 follows HUD reset; 3% historical</t>
        </is>
      </c>
    </row>
    <row r="33">
      <c r="B33" s="5" t="inlineStr">
        <is>
          <t>Vacancy Rate</t>
        </is>
      </c>
      <c r="C33" s="9" t="n">
        <v>0.04</v>
      </c>
      <c r="D33" s="10" t="inlineStr">
        <is>
          <t>Section 8 typically lower than market</t>
        </is>
      </c>
    </row>
    <row r="35">
      <c r="B35" s="3" t="inlineStr">
        <is>
          <t>Operating — Variable Expenses (% of gross rent)</t>
        </is>
      </c>
      <c r="C35" s="4" t="n"/>
      <c r="D35" s="4" t="n"/>
    </row>
    <row r="36">
      <c r="B36" s="5" t="inlineStr">
        <is>
          <t>Management Fee</t>
        </is>
      </c>
      <c r="C36" s="9" t="n">
        <v>0.1</v>
      </c>
    </row>
    <row r="37">
      <c r="B37" s="5" t="inlineStr">
        <is>
          <t>Maintenance Reserve</t>
        </is>
      </c>
      <c r="C37" s="9" t="n">
        <v>0.05</v>
      </c>
    </row>
    <row r="38">
      <c r="B38" s="5" t="inlineStr">
        <is>
          <t>CapEx Reserve</t>
        </is>
      </c>
      <c r="C38" s="9" t="n">
        <v>0.05</v>
      </c>
    </row>
    <row r="40">
      <c r="B40" s="3" t="inlineStr">
        <is>
          <t>Operating — Fixed Expenses (annual $)</t>
        </is>
      </c>
      <c r="C40" s="4" t="n"/>
      <c r="D40" s="4" t="n"/>
    </row>
    <row r="41">
      <c r="B41" s="5" t="inlineStr">
        <is>
          <t>Property Tax (annual)</t>
        </is>
      </c>
      <c r="C41" s="7" t="n">
        <v>3249</v>
      </c>
    </row>
    <row r="42">
      <c r="B42" s="5" t="inlineStr">
        <is>
          <t>Insurance (annual)</t>
        </is>
      </c>
      <c r="C42" s="7" t="n">
        <v>1020</v>
      </c>
    </row>
    <row r="43">
      <c r="B43" s="5" t="inlineStr">
        <is>
          <t>Utilities (annual)</t>
        </is>
      </c>
      <c r="C43" s="7" t="n">
        <v>0</v>
      </c>
      <c r="D43" s="10" t="inlineStr">
        <is>
          <t>Section 8: often tenant-paid; leave 0</t>
        </is>
      </c>
    </row>
    <row r="44">
      <c r="B44" s="5" t="inlineStr">
        <is>
          <t>HOA / Other (annual)</t>
        </is>
      </c>
      <c r="C44" s="7" t="n">
        <v>0</v>
      </c>
    </row>
    <row r="45">
      <c r="B45" s="5" t="inlineStr">
        <is>
          <t>Expense Growth Rate</t>
        </is>
      </c>
      <c r="C45" s="9" t="n">
        <v>0.03</v>
      </c>
    </row>
    <row r="47">
      <c r="B47" s="3" t="inlineStr">
        <is>
          <t>Exit</t>
        </is>
      </c>
      <c r="C47" s="4" t="n"/>
      <c r="D47" s="4" t="n"/>
    </row>
    <row r="48">
      <c r="B48" s="5" t="inlineStr">
        <is>
          <t>Hold Period (yrs)</t>
        </is>
      </c>
      <c r="C48" s="7" t="n">
        <v>10</v>
      </c>
    </row>
    <row r="49">
      <c r="B49" s="5" t="inlineStr">
        <is>
          <t>Exit Cap Rate</t>
        </is>
      </c>
      <c r="C49" s="11" t="n">
        <v>0.08</v>
      </c>
    </row>
    <row r="50">
      <c r="B50" s="5" t="inlineStr">
        <is>
          <t>Cost of Sale (% of price)</t>
        </is>
      </c>
      <c r="C50" s="9" t="n">
        <v>0.06</v>
      </c>
    </row>
    <row r="52">
      <c r="B52" s="3" t="inlineStr">
        <is>
          <t>Decision Thresholds</t>
        </is>
      </c>
      <c r="C52" s="4" t="n"/>
      <c r="D52" s="4" t="n"/>
    </row>
    <row r="53">
      <c r="B53" s="5" t="inlineStr">
        <is>
          <t>Min Cap Rate</t>
        </is>
      </c>
      <c r="C53" s="9" t="n">
        <v>0.08</v>
      </c>
    </row>
    <row r="54">
      <c r="B54" s="5" t="inlineStr">
        <is>
          <t>Min Cash-on-Cash</t>
        </is>
      </c>
      <c r="C54" s="9" t="n">
        <v>0.1</v>
      </c>
    </row>
    <row r="55">
      <c r="B55" s="5" t="inlineStr">
        <is>
          <t>Min DSCR</t>
        </is>
      </c>
      <c r="C55" s="12" t="n">
        <v>1.25</v>
      </c>
    </row>
    <row r="56">
      <c r="B56" s="5" t="inlineStr">
        <is>
          <t>Min Levered IRR</t>
        </is>
      </c>
      <c r="C56" s="9" t="n">
        <v>0.15</v>
      </c>
    </row>
    <row r="57">
      <c r="B57" s="5" t="inlineStr">
        <is>
          <t>Max Price / ARV</t>
        </is>
      </c>
      <c r="C57" s="9" t="n">
        <v>0.75</v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&amp;LInputs&amp;CConfidential&amp;RPage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B1:I29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4" customWidth="1" min="4" max="4"/>
    <col width="32" customWidth="1" min="5" max="5"/>
    <col width="18" customWidth="1" min="6" max="6"/>
    <col width="4" customWidth="1" min="7" max="7"/>
    <col width="32" customWidth="1" min="8" max="8"/>
    <col width="18" customWidth="1" min="9" max="9"/>
  </cols>
  <sheetData>
    <row r="1">
      <c r="B1" s="1" t="inlineStr">
        <is>
          <t>Property Analysis — Summary</t>
        </is>
      </c>
    </row>
    <row r="3">
      <c r="B3" s="5" t="inlineStr">
        <is>
          <t>Address:</t>
        </is>
      </c>
      <c r="C3" s="13">
        <f>address</f>
        <v/>
      </c>
    </row>
    <row r="4">
      <c r="B4" s="5" t="inlineStr">
        <is>
          <t>ZIP:</t>
        </is>
      </c>
      <c r="C4" s="14">
        <f>zip</f>
        <v/>
      </c>
    </row>
    <row r="5">
      <c r="B5" s="5" t="inlineStr">
        <is>
          <t>Beds / Baths:</t>
        </is>
      </c>
      <c r="C5" s="14">
        <f>beds &amp; " / " &amp; baths</f>
        <v/>
      </c>
    </row>
    <row r="7">
      <c r="B7" s="3" t="inlineStr">
        <is>
          <t>Key Metrics</t>
        </is>
      </c>
      <c r="C7" s="4" t="n"/>
      <c r="D7" s="4" t="n"/>
      <c r="E7" s="4" t="n"/>
      <c r="F7" s="4" t="n"/>
      <c r="G7" s="4" t="n"/>
      <c r="H7" s="4" t="n"/>
      <c r="I7" s="4" t="n"/>
    </row>
    <row r="8">
      <c r="B8" s="15" t="inlineStr">
        <is>
          <t>Total Cash Invested</t>
        </is>
      </c>
      <c r="C8" s="16">
        <f>-'Cashflow'!C36</f>
        <v/>
      </c>
      <c r="E8" s="15" t="inlineStr">
        <is>
          <t>Year 1 NOI</t>
        </is>
      </c>
      <c r="F8" s="16">
        <f>'Cashflow'!D22</f>
        <v/>
      </c>
    </row>
    <row r="9">
      <c r="B9" s="15" t="inlineStr">
        <is>
          <t>Cap Rate (Y1 / Cash Invested)</t>
        </is>
      </c>
      <c r="C9" s="17">
        <f>IFERROR('Cashflow'!D22/(-'Cashflow'!C36),0)</f>
        <v/>
      </c>
      <c r="E9" s="15" t="inlineStr">
        <is>
          <t>Cap Rate (Y1 / Purchase Price)</t>
        </is>
      </c>
      <c r="F9" s="17">
        <f>IFERROR('Cashflow'!D22/purchase_price,0)</f>
        <v/>
      </c>
    </row>
    <row r="10">
      <c r="B10" s="15" t="inlineStr">
        <is>
          <t>Y1 Cash-on-Cash</t>
        </is>
      </c>
      <c r="C10" s="17">
        <f>IFERROR(('Cashflow'!D22+'Cashflow'!D29)/(-'Cashflow'!C36),0)</f>
        <v/>
      </c>
      <c r="E10" s="15" t="inlineStr">
        <is>
          <t>DSCR (Year 1)</t>
        </is>
      </c>
      <c r="F10" s="18">
        <f>IFERROR('Cashflow'!D37,"n/a")</f>
        <v/>
      </c>
    </row>
    <row r="11">
      <c r="B11" s="15" t="inlineStr">
        <is>
          <t>DSCR (Min Observed)</t>
        </is>
      </c>
      <c r="C11" s="18">
        <f>IF(COUNT('Cashflow'!D37:'Cashflow'!R37)=0,"n/a",MIN('Cashflow'!D37:'Cashflow'!R37))</f>
        <v/>
      </c>
      <c r="E11" s="15" t="inlineStr">
        <is>
          <t>Price / ARV</t>
        </is>
      </c>
      <c r="F11" s="19">
        <f>IFERROR(purchase_price/arv,0)</f>
        <v/>
      </c>
    </row>
    <row r="14">
      <c r="B14" s="3" t="inlineStr">
        <is>
          <t>Returns (10-Year Hold)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15" t="inlineStr">
        <is>
          <t>Levered IRR</t>
        </is>
      </c>
      <c r="C15" s="17">
        <f>IFERROR(IRR('Cashflow'!C36:'Cashflow'!R36),0)</f>
        <v/>
      </c>
      <c r="E15" s="15" t="inlineStr">
        <is>
          <t>Equity Multiple</t>
        </is>
      </c>
      <c r="F15" s="18">
        <f>IFERROR(SUMIF('Cashflow'!C36:'Cashflow'!R36,"&gt;0")/-SUMIF('Cashflow'!C36:'Cashflow'!R36,"&lt;0"),0)</f>
        <v/>
      </c>
    </row>
    <row r="16">
      <c r="B16" s="15" t="inlineStr">
        <is>
          <t>Total Net Profit</t>
        </is>
      </c>
      <c r="C16" s="16">
        <f>SUM('Cashflow'!C36:'Cashflow'!R36)</f>
        <v/>
      </c>
      <c r="E16" s="15" t="inlineStr">
        <is>
          <t>Year 10 Exit Value</t>
        </is>
      </c>
      <c r="F16" s="16">
        <f>IFERROR('Cashflow'!M34,0)</f>
        <v/>
      </c>
    </row>
    <row r="19">
      <c r="B19" s="3" t="inlineStr">
        <is>
          <t>Decision — Buy / No-Buy</t>
        </is>
      </c>
      <c r="C19" s="4" t="n"/>
      <c r="D19" s="4" t="n"/>
      <c r="E19" s="4" t="n"/>
      <c r="F19" s="4" t="n"/>
      <c r="G19" s="4" t="n"/>
      <c r="H19" s="4" t="n"/>
      <c r="I19" s="4" t="n"/>
    </row>
    <row r="20">
      <c r="B20" s="20" t="inlineStr">
        <is>
          <t>Metric</t>
        </is>
      </c>
      <c r="C20" s="20" t="inlineStr">
        <is>
          <t>Value</t>
        </is>
      </c>
      <c r="D20" s="20" t="inlineStr">
        <is>
          <t>Threshold</t>
        </is>
      </c>
      <c r="E20" s="20" t="inlineStr">
        <is>
          <t>Status</t>
        </is>
      </c>
    </row>
    <row r="21">
      <c r="B21" s="15" t="inlineStr">
        <is>
          <t>Cap Rate (Y1)</t>
        </is>
      </c>
      <c r="C21" s="21">
        <f>IFERROR('Cashflow'!D22/(-'Cashflow'!C36),0)</f>
        <v/>
      </c>
      <c r="D21" s="21">
        <f>cap_rate_min</f>
        <v/>
      </c>
      <c r="E21" s="22">
        <f>IF(C21&gt;=D21,"PASS","FAIL")</f>
        <v/>
      </c>
    </row>
    <row r="22">
      <c r="B22" s="15" t="inlineStr">
        <is>
          <t>Cash-on-Cash (Y1)</t>
        </is>
      </c>
      <c r="C22" s="21">
        <f>IFERROR(('Cashflow'!D22+'Cashflow'!D29)/(-'Cashflow'!C36),0)</f>
        <v/>
      </c>
      <c r="D22" s="21">
        <f>cash_on_cash_min</f>
        <v/>
      </c>
      <c r="E22" s="22">
        <f>IF(C22&gt;=D22,"PASS","FAIL")</f>
        <v/>
      </c>
    </row>
    <row r="23">
      <c r="B23" s="15" t="inlineStr">
        <is>
          <t>DSCR (min)</t>
        </is>
      </c>
      <c r="C23" s="23">
        <f>IF(COUNT('Cashflow'!D37:'Cashflow'!R37)=0,9999,MIN('Cashflow'!D37:'Cashflow'!R37))</f>
        <v/>
      </c>
      <c r="D23" s="23">
        <f>dscr_min</f>
        <v/>
      </c>
      <c r="E23" s="22">
        <f>IF(C23&gt;=D23,"PASS","FAIL")</f>
        <v/>
      </c>
    </row>
    <row r="24">
      <c r="B24" s="15" t="inlineStr">
        <is>
          <t>Levered IRR</t>
        </is>
      </c>
      <c r="C24" s="21">
        <f>IFERROR(IRR('Cashflow'!C36:'Cashflow'!R36),0)</f>
        <v/>
      </c>
      <c r="D24" s="21">
        <f>irr_min</f>
        <v/>
      </c>
      <c r="E24" s="22">
        <f>IF(C24&gt;=D24,"PASS","FAIL")</f>
        <v/>
      </c>
    </row>
    <row r="25">
      <c r="B25" s="15" t="inlineStr">
        <is>
          <t>Price / ARV</t>
        </is>
      </c>
      <c r="C25" s="24">
        <f>IFERROR(purchase_price/arv,0)</f>
        <v/>
      </c>
      <c r="D25" s="24">
        <f>max_price_to_arv</f>
        <v/>
      </c>
      <c r="E25" s="22">
        <f>IF(C25&lt;=D25,"PASS","FAIL")</f>
        <v/>
      </c>
    </row>
    <row r="27">
      <c r="B27" s="15" t="inlineStr">
        <is>
          <t>Checks Passed</t>
        </is>
      </c>
      <c r="C27" s="25">
        <f>IF(E21="PASS",1,0)+IF(E22="PASS",1,0)+IF(E23="PASS",1,0)+IF(E24="PASS",1,0)+IF(E25="PASS",1,0)</f>
        <v/>
      </c>
    </row>
    <row r="28">
      <c r="B28" s="15" t="inlineStr">
        <is>
          <t>Checks Failed</t>
        </is>
      </c>
      <c r="C28" s="25">
        <f>IF(E21="FAIL",1,0)+IF(E22="FAIL",1,0)+IF(E23="FAIL",1,0)+IF(E24="FAIL",1,0)+IF(E25="FAIL",1,0)</f>
        <v/>
      </c>
    </row>
    <row r="29">
      <c r="B29" s="26" t="inlineStr">
        <is>
          <t>RECOMMENDATION</t>
        </is>
      </c>
      <c r="C29" s="27">
        <f>IF(C28=0,"BUY",IF(C28&lt;=2,"CONSIDER","PASS"))</f>
        <v/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&amp;LSummary&amp;CConfidential&amp;RPage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R37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B1" s="1" t="inlineStr">
        <is>
          <t>Cashflow</t>
        </is>
      </c>
    </row>
    <row r="4">
      <c r="B4" s="20" t="inlineStr">
        <is>
          <t>Year</t>
        </is>
      </c>
      <c r="C4" s="28" t="n">
        <v>0</v>
      </c>
      <c r="D4" s="28" t="n">
        <v>1</v>
      </c>
      <c r="E4" s="28" t="n">
        <v>2</v>
      </c>
      <c r="F4" s="28" t="n">
        <v>3</v>
      </c>
      <c r="G4" s="28" t="n">
        <v>4</v>
      </c>
      <c r="H4" s="28" t="n">
        <v>5</v>
      </c>
      <c r="I4" s="28" t="n">
        <v>6</v>
      </c>
      <c r="J4" s="28" t="n">
        <v>7</v>
      </c>
      <c r="K4" s="28" t="n">
        <v>8</v>
      </c>
      <c r="L4" s="28" t="n">
        <v>9</v>
      </c>
      <c r="M4" s="28" t="n">
        <v>10</v>
      </c>
      <c r="N4" s="28" t="n">
        <v>11</v>
      </c>
      <c r="O4" s="28" t="n">
        <v>12</v>
      </c>
      <c r="P4" s="28" t="n">
        <v>13</v>
      </c>
      <c r="Q4" s="28" t="n">
        <v>14</v>
      </c>
      <c r="R4" s="28" t="n">
        <v>15</v>
      </c>
    </row>
    <row r="6">
      <c r="B6" s="3" t="inlineStr">
        <is>
          <t>Revenue</t>
        </is>
      </c>
    </row>
    <row r="7">
      <c r="B7" s="5" t="inlineStr">
        <is>
          <t>Gross Rent</t>
        </is>
      </c>
      <c r="C7" s="25">
        <f>IF(OR(C$4&lt;1,C$4&gt;hold_period_yrs),0,monthly_rent*12*(1+rent_growth)^(C$4-1))</f>
        <v/>
      </c>
      <c r="D7" s="25">
        <f>IF(OR(D$4&lt;1,D$4&gt;hold_period_yrs),0,monthly_rent*12*(1+rent_growth)^(D$4-1))</f>
        <v/>
      </c>
      <c r="E7" s="25">
        <f>IF(OR(E$4&lt;1,E$4&gt;hold_period_yrs),0,monthly_rent*12*(1+rent_growth)^(E$4-1))</f>
        <v/>
      </c>
      <c r="F7" s="25">
        <f>IF(OR(F$4&lt;1,F$4&gt;hold_period_yrs),0,monthly_rent*12*(1+rent_growth)^(F$4-1))</f>
        <v/>
      </c>
      <c r="G7" s="25">
        <f>IF(OR(G$4&lt;1,G$4&gt;hold_period_yrs),0,monthly_rent*12*(1+rent_growth)^(G$4-1))</f>
        <v/>
      </c>
      <c r="H7" s="25">
        <f>IF(OR(H$4&lt;1,H$4&gt;hold_period_yrs),0,monthly_rent*12*(1+rent_growth)^(H$4-1))</f>
        <v/>
      </c>
      <c r="I7" s="25">
        <f>IF(OR(I$4&lt;1,I$4&gt;hold_period_yrs),0,monthly_rent*12*(1+rent_growth)^(I$4-1))</f>
        <v/>
      </c>
      <c r="J7" s="25">
        <f>IF(OR(J$4&lt;1,J$4&gt;hold_period_yrs),0,monthly_rent*12*(1+rent_growth)^(J$4-1))</f>
        <v/>
      </c>
      <c r="K7" s="25">
        <f>IF(OR(K$4&lt;1,K$4&gt;hold_period_yrs),0,monthly_rent*12*(1+rent_growth)^(K$4-1))</f>
        <v/>
      </c>
      <c r="L7" s="25">
        <f>IF(OR(L$4&lt;1,L$4&gt;hold_period_yrs),0,monthly_rent*12*(1+rent_growth)^(L$4-1))</f>
        <v/>
      </c>
      <c r="M7" s="25">
        <f>IF(OR(M$4&lt;1,M$4&gt;hold_period_yrs),0,monthly_rent*12*(1+rent_growth)^(M$4-1))</f>
        <v/>
      </c>
      <c r="N7" s="25">
        <f>IF(OR(N$4&lt;1,N$4&gt;hold_period_yrs),0,monthly_rent*12*(1+rent_growth)^(N$4-1))</f>
        <v/>
      </c>
      <c r="O7" s="25">
        <f>IF(OR(O$4&lt;1,O$4&gt;hold_period_yrs),0,monthly_rent*12*(1+rent_growth)^(O$4-1))</f>
        <v/>
      </c>
      <c r="P7" s="25">
        <f>IF(OR(P$4&lt;1,P$4&gt;hold_period_yrs),0,monthly_rent*12*(1+rent_growth)^(P$4-1))</f>
        <v/>
      </c>
      <c r="Q7" s="25">
        <f>IF(OR(Q$4&lt;1,Q$4&gt;hold_period_yrs),0,monthly_rent*12*(1+rent_growth)^(Q$4-1))</f>
        <v/>
      </c>
      <c r="R7" s="25">
        <f>IF(OR(R$4&lt;1,R$4&gt;hold_period_yrs),0,monthly_rent*12*(1+rent_growth)^(R$4-1))</f>
        <v/>
      </c>
    </row>
    <row r="8">
      <c r="B8" s="5" t="inlineStr">
        <is>
          <t>Vacancy Loss</t>
        </is>
      </c>
      <c r="C8" s="25">
        <f>IF(OR(C$4&lt;1,C$4&gt;hold_period_yrs),0,-C7*vacancy_rate)</f>
        <v/>
      </c>
      <c r="D8" s="25">
        <f>IF(OR(D$4&lt;1,D$4&gt;hold_period_yrs),0,-D7*vacancy_rate)</f>
        <v/>
      </c>
      <c r="E8" s="25">
        <f>IF(OR(E$4&lt;1,E$4&gt;hold_period_yrs),0,-E7*vacancy_rate)</f>
        <v/>
      </c>
      <c r="F8" s="25">
        <f>IF(OR(F$4&lt;1,F$4&gt;hold_period_yrs),0,-F7*vacancy_rate)</f>
        <v/>
      </c>
      <c r="G8" s="25">
        <f>IF(OR(G$4&lt;1,G$4&gt;hold_period_yrs),0,-G7*vacancy_rate)</f>
        <v/>
      </c>
      <c r="H8" s="25">
        <f>IF(OR(H$4&lt;1,H$4&gt;hold_period_yrs),0,-H7*vacancy_rate)</f>
        <v/>
      </c>
      <c r="I8" s="25">
        <f>IF(OR(I$4&lt;1,I$4&gt;hold_period_yrs),0,-I7*vacancy_rate)</f>
        <v/>
      </c>
      <c r="J8" s="25">
        <f>IF(OR(J$4&lt;1,J$4&gt;hold_period_yrs),0,-J7*vacancy_rate)</f>
        <v/>
      </c>
      <c r="K8" s="25">
        <f>IF(OR(K$4&lt;1,K$4&gt;hold_period_yrs),0,-K7*vacancy_rate)</f>
        <v/>
      </c>
      <c r="L8" s="25">
        <f>IF(OR(L$4&lt;1,L$4&gt;hold_period_yrs),0,-L7*vacancy_rate)</f>
        <v/>
      </c>
      <c r="M8" s="25">
        <f>IF(OR(M$4&lt;1,M$4&gt;hold_period_yrs),0,-M7*vacancy_rate)</f>
        <v/>
      </c>
      <c r="N8" s="25">
        <f>IF(OR(N$4&lt;1,N$4&gt;hold_period_yrs),0,-N7*vacancy_rate)</f>
        <v/>
      </c>
      <c r="O8" s="25">
        <f>IF(OR(O$4&lt;1,O$4&gt;hold_period_yrs),0,-O7*vacancy_rate)</f>
        <v/>
      </c>
      <c r="P8" s="25">
        <f>IF(OR(P$4&lt;1,P$4&gt;hold_period_yrs),0,-P7*vacancy_rate)</f>
        <v/>
      </c>
      <c r="Q8" s="25">
        <f>IF(OR(Q$4&lt;1,Q$4&gt;hold_period_yrs),0,-Q7*vacancy_rate)</f>
        <v/>
      </c>
      <c r="R8" s="25">
        <f>IF(OR(R$4&lt;1,R$4&gt;hold_period_yrs),0,-R7*vacancy_rate)</f>
        <v/>
      </c>
    </row>
    <row r="9">
      <c r="B9" s="29" t="inlineStr">
        <is>
          <t>Effective Gross Income</t>
        </is>
      </c>
      <c r="C9" s="30">
        <f>IF(OR(C$4&lt;1,C$4&gt;hold_period_yrs),0,C7+C8)</f>
        <v/>
      </c>
      <c r="D9" s="30">
        <f>IF(OR(D$4&lt;1,D$4&gt;hold_period_yrs),0,D7+D8)</f>
        <v/>
      </c>
      <c r="E9" s="30">
        <f>IF(OR(E$4&lt;1,E$4&gt;hold_period_yrs),0,E7+E8)</f>
        <v/>
      </c>
      <c r="F9" s="30">
        <f>IF(OR(F$4&lt;1,F$4&gt;hold_period_yrs),0,F7+F8)</f>
        <v/>
      </c>
      <c r="G9" s="30">
        <f>IF(OR(G$4&lt;1,G$4&gt;hold_period_yrs),0,G7+G8)</f>
        <v/>
      </c>
      <c r="H9" s="30">
        <f>IF(OR(H$4&lt;1,H$4&gt;hold_period_yrs),0,H7+H8)</f>
        <v/>
      </c>
      <c r="I9" s="30">
        <f>IF(OR(I$4&lt;1,I$4&gt;hold_period_yrs),0,I7+I8)</f>
        <v/>
      </c>
      <c r="J9" s="30">
        <f>IF(OR(J$4&lt;1,J$4&gt;hold_period_yrs),0,J7+J8)</f>
        <v/>
      </c>
      <c r="K9" s="30">
        <f>IF(OR(K$4&lt;1,K$4&gt;hold_period_yrs),0,K7+K8)</f>
        <v/>
      </c>
      <c r="L9" s="30">
        <f>IF(OR(L$4&lt;1,L$4&gt;hold_period_yrs),0,L7+L8)</f>
        <v/>
      </c>
      <c r="M9" s="30">
        <f>IF(OR(M$4&lt;1,M$4&gt;hold_period_yrs),0,M7+M8)</f>
        <v/>
      </c>
      <c r="N9" s="30">
        <f>IF(OR(N$4&lt;1,N$4&gt;hold_period_yrs),0,N7+N8)</f>
        <v/>
      </c>
      <c r="O9" s="30">
        <f>IF(OR(O$4&lt;1,O$4&gt;hold_period_yrs),0,O7+O8)</f>
        <v/>
      </c>
      <c r="P9" s="30">
        <f>IF(OR(P$4&lt;1,P$4&gt;hold_period_yrs),0,P7+P8)</f>
        <v/>
      </c>
      <c r="Q9" s="30">
        <f>IF(OR(Q$4&lt;1,Q$4&gt;hold_period_yrs),0,Q7+Q8)</f>
        <v/>
      </c>
      <c r="R9" s="30">
        <f>IF(OR(R$4&lt;1,R$4&gt;hold_period_yrs),0,R7+R8)</f>
        <v/>
      </c>
    </row>
    <row r="11">
      <c r="B11" s="3" t="inlineStr">
        <is>
          <t>Operating Expenses — Variable</t>
        </is>
      </c>
    </row>
    <row r="12">
      <c r="B12" s="5" t="inlineStr">
        <is>
          <t>Management</t>
        </is>
      </c>
      <c r="C12" s="25">
        <f>IF(OR(C$4&lt;1,C$4&gt;hold_period_yrs),0,-C7*management_pct)</f>
        <v/>
      </c>
      <c r="D12" s="25">
        <f>IF(OR(D$4&lt;1,D$4&gt;hold_period_yrs),0,-D7*management_pct)</f>
        <v/>
      </c>
      <c r="E12" s="25">
        <f>IF(OR(E$4&lt;1,E$4&gt;hold_period_yrs),0,-E7*management_pct)</f>
        <v/>
      </c>
      <c r="F12" s="25">
        <f>IF(OR(F$4&lt;1,F$4&gt;hold_period_yrs),0,-F7*management_pct)</f>
        <v/>
      </c>
      <c r="G12" s="25">
        <f>IF(OR(G$4&lt;1,G$4&gt;hold_period_yrs),0,-G7*management_pct)</f>
        <v/>
      </c>
      <c r="H12" s="25">
        <f>IF(OR(H$4&lt;1,H$4&gt;hold_period_yrs),0,-H7*management_pct)</f>
        <v/>
      </c>
      <c r="I12" s="25">
        <f>IF(OR(I$4&lt;1,I$4&gt;hold_period_yrs),0,-I7*management_pct)</f>
        <v/>
      </c>
      <c r="J12" s="25">
        <f>IF(OR(J$4&lt;1,J$4&gt;hold_period_yrs),0,-J7*management_pct)</f>
        <v/>
      </c>
      <c r="K12" s="25">
        <f>IF(OR(K$4&lt;1,K$4&gt;hold_period_yrs),0,-K7*management_pct)</f>
        <v/>
      </c>
      <c r="L12" s="25">
        <f>IF(OR(L$4&lt;1,L$4&gt;hold_period_yrs),0,-L7*management_pct)</f>
        <v/>
      </c>
      <c r="M12" s="25">
        <f>IF(OR(M$4&lt;1,M$4&gt;hold_period_yrs),0,-M7*management_pct)</f>
        <v/>
      </c>
      <c r="N12" s="25">
        <f>IF(OR(N$4&lt;1,N$4&gt;hold_period_yrs),0,-N7*management_pct)</f>
        <v/>
      </c>
      <c r="O12" s="25">
        <f>IF(OR(O$4&lt;1,O$4&gt;hold_period_yrs),0,-O7*management_pct)</f>
        <v/>
      </c>
      <c r="P12" s="25">
        <f>IF(OR(P$4&lt;1,P$4&gt;hold_period_yrs),0,-P7*management_pct)</f>
        <v/>
      </c>
      <c r="Q12" s="25">
        <f>IF(OR(Q$4&lt;1,Q$4&gt;hold_period_yrs),0,-Q7*management_pct)</f>
        <v/>
      </c>
      <c r="R12" s="25">
        <f>IF(OR(R$4&lt;1,R$4&gt;hold_period_yrs),0,-R7*management_pct)</f>
        <v/>
      </c>
    </row>
    <row r="13">
      <c r="B13" s="5" t="inlineStr">
        <is>
          <t>Maintenance</t>
        </is>
      </c>
      <c r="C13" s="25">
        <f>IF(OR(C$4&lt;1,C$4&gt;hold_period_yrs),0,-C7*maintenance_pct)</f>
        <v/>
      </c>
      <c r="D13" s="25">
        <f>IF(OR(D$4&lt;1,D$4&gt;hold_period_yrs),0,-D7*maintenance_pct)</f>
        <v/>
      </c>
      <c r="E13" s="25">
        <f>IF(OR(E$4&lt;1,E$4&gt;hold_period_yrs),0,-E7*maintenance_pct)</f>
        <v/>
      </c>
      <c r="F13" s="25">
        <f>IF(OR(F$4&lt;1,F$4&gt;hold_period_yrs),0,-F7*maintenance_pct)</f>
        <v/>
      </c>
      <c r="G13" s="25">
        <f>IF(OR(G$4&lt;1,G$4&gt;hold_period_yrs),0,-G7*maintenance_pct)</f>
        <v/>
      </c>
      <c r="H13" s="25">
        <f>IF(OR(H$4&lt;1,H$4&gt;hold_period_yrs),0,-H7*maintenance_pct)</f>
        <v/>
      </c>
      <c r="I13" s="25">
        <f>IF(OR(I$4&lt;1,I$4&gt;hold_period_yrs),0,-I7*maintenance_pct)</f>
        <v/>
      </c>
      <c r="J13" s="25">
        <f>IF(OR(J$4&lt;1,J$4&gt;hold_period_yrs),0,-J7*maintenance_pct)</f>
        <v/>
      </c>
      <c r="K13" s="25">
        <f>IF(OR(K$4&lt;1,K$4&gt;hold_period_yrs),0,-K7*maintenance_pct)</f>
        <v/>
      </c>
      <c r="L13" s="25">
        <f>IF(OR(L$4&lt;1,L$4&gt;hold_period_yrs),0,-L7*maintenance_pct)</f>
        <v/>
      </c>
      <c r="M13" s="25">
        <f>IF(OR(M$4&lt;1,M$4&gt;hold_period_yrs),0,-M7*maintenance_pct)</f>
        <v/>
      </c>
      <c r="N13" s="25">
        <f>IF(OR(N$4&lt;1,N$4&gt;hold_period_yrs),0,-N7*maintenance_pct)</f>
        <v/>
      </c>
      <c r="O13" s="25">
        <f>IF(OR(O$4&lt;1,O$4&gt;hold_period_yrs),0,-O7*maintenance_pct)</f>
        <v/>
      </c>
      <c r="P13" s="25">
        <f>IF(OR(P$4&lt;1,P$4&gt;hold_period_yrs),0,-P7*maintenance_pct)</f>
        <v/>
      </c>
      <c r="Q13" s="25">
        <f>IF(OR(Q$4&lt;1,Q$4&gt;hold_period_yrs),0,-Q7*maintenance_pct)</f>
        <v/>
      </c>
      <c r="R13" s="25">
        <f>IF(OR(R$4&lt;1,R$4&gt;hold_period_yrs),0,-R7*maintenance_pct)</f>
        <v/>
      </c>
    </row>
    <row r="14">
      <c r="B14" s="5" t="inlineStr">
        <is>
          <t>CapEx Reserve</t>
        </is>
      </c>
      <c r="C14" s="25">
        <f>IF(OR(C$4&lt;1,C$4&gt;hold_period_yrs),0,-C7*capex_reserve_pct)</f>
        <v/>
      </c>
      <c r="D14" s="25">
        <f>IF(OR(D$4&lt;1,D$4&gt;hold_period_yrs),0,-D7*capex_reserve_pct)</f>
        <v/>
      </c>
      <c r="E14" s="25">
        <f>IF(OR(E$4&lt;1,E$4&gt;hold_period_yrs),0,-E7*capex_reserve_pct)</f>
        <v/>
      </c>
      <c r="F14" s="25">
        <f>IF(OR(F$4&lt;1,F$4&gt;hold_period_yrs),0,-F7*capex_reserve_pct)</f>
        <v/>
      </c>
      <c r="G14" s="25">
        <f>IF(OR(G$4&lt;1,G$4&gt;hold_period_yrs),0,-G7*capex_reserve_pct)</f>
        <v/>
      </c>
      <c r="H14" s="25">
        <f>IF(OR(H$4&lt;1,H$4&gt;hold_period_yrs),0,-H7*capex_reserve_pct)</f>
        <v/>
      </c>
      <c r="I14" s="25">
        <f>IF(OR(I$4&lt;1,I$4&gt;hold_period_yrs),0,-I7*capex_reserve_pct)</f>
        <v/>
      </c>
      <c r="J14" s="25">
        <f>IF(OR(J$4&lt;1,J$4&gt;hold_period_yrs),0,-J7*capex_reserve_pct)</f>
        <v/>
      </c>
      <c r="K14" s="25">
        <f>IF(OR(K$4&lt;1,K$4&gt;hold_period_yrs),0,-K7*capex_reserve_pct)</f>
        <v/>
      </c>
      <c r="L14" s="25">
        <f>IF(OR(L$4&lt;1,L$4&gt;hold_period_yrs),0,-L7*capex_reserve_pct)</f>
        <v/>
      </c>
      <c r="M14" s="25">
        <f>IF(OR(M$4&lt;1,M$4&gt;hold_period_yrs),0,-M7*capex_reserve_pct)</f>
        <v/>
      </c>
      <c r="N14" s="25">
        <f>IF(OR(N$4&lt;1,N$4&gt;hold_period_yrs),0,-N7*capex_reserve_pct)</f>
        <v/>
      </c>
      <c r="O14" s="25">
        <f>IF(OR(O$4&lt;1,O$4&gt;hold_period_yrs),0,-O7*capex_reserve_pct)</f>
        <v/>
      </c>
      <c r="P14" s="25">
        <f>IF(OR(P$4&lt;1,P$4&gt;hold_period_yrs),0,-P7*capex_reserve_pct)</f>
        <v/>
      </c>
      <c r="Q14" s="25">
        <f>IF(OR(Q$4&lt;1,Q$4&gt;hold_period_yrs),0,-Q7*capex_reserve_pct)</f>
        <v/>
      </c>
      <c r="R14" s="25">
        <f>IF(OR(R$4&lt;1,R$4&gt;hold_period_yrs),0,-R7*capex_reserve_pct)</f>
        <v/>
      </c>
    </row>
    <row r="16">
      <c r="B16" s="3" t="inlineStr">
        <is>
          <t>Operating Expenses — Fixed</t>
        </is>
      </c>
    </row>
    <row r="17">
      <c r="B17" s="5" t="inlineStr">
        <is>
          <t>Property Tax</t>
        </is>
      </c>
      <c r="C17" s="25">
        <f>IF(OR(C$4&lt;1,C$4&gt;hold_period_yrs),0,-property_tax_annual*(1+expense_growth)^(C$4-1))</f>
        <v/>
      </c>
      <c r="D17" s="25">
        <f>IF(OR(D$4&lt;1,D$4&gt;hold_period_yrs),0,-property_tax_annual*(1+expense_growth)^(D$4-1))</f>
        <v/>
      </c>
      <c r="E17" s="25">
        <f>IF(OR(E$4&lt;1,E$4&gt;hold_period_yrs),0,-property_tax_annual*(1+expense_growth)^(E$4-1))</f>
        <v/>
      </c>
      <c r="F17" s="25">
        <f>IF(OR(F$4&lt;1,F$4&gt;hold_period_yrs),0,-property_tax_annual*(1+expense_growth)^(F$4-1))</f>
        <v/>
      </c>
      <c r="G17" s="25">
        <f>IF(OR(G$4&lt;1,G$4&gt;hold_period_yrs),0,-property_tax_annual*(1+expense_growth)^(G$4-1))</f>
        <v/>
      </c>
      <c r="H17" s="25">
        <f>IF(OR(H$4&lt;1,H$4&gt;hold_period_yrs),0,-property_tax_annual*(1+expense_growth)^(H$4-1))</f>
        <v/>
      </c>
      <c r="I17" s="25">
        <f>IF(OR(I$4&lt;1,I$4&gt;hold_period_yrs),0,-property_tax_annual*(1+expense_growth)^(I$4-1))</f>
        <v/>
      </c>
      <c r="J17" s="25">
        <f>IF(OR(J$4&lt;1,J$4&gt;hold_period_yrs),0,-property_tax_annual*(1+expense_growth)^(J$4-1))</f>
        <v/>
      </c>
      <c r="K17" s="25">
        <f>IF(OR(K$4&lt;1,K$4&gt;hold_period_yrs),0,-property_tax_annual*(1+expense_growth)^(K$4-1))</f>
        <v/>
      </c>
      <c r="L17" s="25">
        <f>IF(OR(L$4&lt;1,L$4&gt;hold_period_yrs),0,-property_tax_annual*(1+expense_growth)^(L$4-1))</f>
        <v/>
      </c>
      <c r="M17" s="25">
        <f>IF(OR(M$4&lt;1,M$4&gt;hold_period_yrs),0,-property_tax_annual*(1+expense_growth)^(M$4-1))</f>
        <v/>
      </c>
      <c r="N17" s="25">
        <f>IF(OR(N$4&lt;1,N$4&gt;hold_period_yrs),0,-property_tax_annual*(1+expense_growth)^(N$4-1))</f>
        <v/>
      </c>
      <c r="O17" s="25">
        <f>IF(OR(O$4&lt;1,O$4&gt;hold_period_yrs),0,-property_tax_annual*(1+expense_growth)^(O$4-1))</f>
        <v/>
      </c>
      <c r="P17" s="25">
        <f>IF(OR(P$4&lt;1,P$4&gt;hold_period_yrs),0,-property_tax_annual*(1+expense_growth)^(P$4-1))</f>
        <v/>
      </c>
      <c r="Q17" s="25">
        <f>IF(OR(Q$4&lt;1,Q$4&gt;hold_period_yrs),0,-property_tax_annual*(1+expense_growth)^(Q$4-1))</f>
        <v/>
      </c>
      <c r="R17" s="25">
        <f>IF(OR(R$4&lt;1,R$4&gt;hold_period_yrs),0,-property_tax_annual*(1+expense_growth)^(R$4-1))</f>
        <v/>
      </c>
    </row>
    <row r="18">
      <c r="B18" s="5" t="inlineStr">
        <is>
          <t>Insurance</t>
        </is>
      </c>
      <c r="C18" s="25">
        <f>IF(OR(C$4&lt;1,C$4&gt;hold_period_yrs),0,-insurance_annual*(1+expense_growth)^(C$4-1))</f>
        <v/>
      </c>
      <c r="D18" s="25">
        <f>IF(OR(D$4&lt;1,D$4&gt;hold_period_yrs),0,-insurance_annual*(1+expense_growth)^(D$4-1))</f>
        <v/>
      </c>
      <c r="E18" s="25">
        <f>IF(OR(E$4&lt;1,E$4&gt;hold_period_yrs),0,-insurance_annual*(1+expense_growth)^(E$4-1))</f>
        <v/>
      </c>
      <c r="F18" s="25">
        <f>IF(OR(F$4&lt;1,F$4&gt;hold_period_yrs),0,-insurance_annual*(1+expense_growth)^(F$4-1))</f>
        <v/>
      </c>
      <c r="G18" s="25">
        <f>IF(OR(G$4&lt;1,G$4&gt;hold_period_yrs),0,-insurance_annual*(1+expense_growth)^(G$4-1))</f>
        <v/>
      </c>
      <c r="H18" s="25">
        <f>IF(OR(H$4&lt;1,H$4&gt;hold_period_yrs),0,-insurance_annual*(1+expense_growth)^(H$4-1))</f>
        <v/>
      </c>
      <c r="I18" s="25">
        <f>IF(OR(I$4&lt;1,I$4&gt;hold_period_yrs),0,-insurance_annual*(1+expense_growth)^(I$4-1))</f>
        <v/>
      </c>
      <c r="J18" s="25">
        <f>IF(OR(J$4&lt;1,J$4&gt;hold_period_yrs),0,-insurance_annual*(1+expense_growth)^(J$4-1))</f>
        <v/>
      </c>
      <c r="K18" s="25">
        <f>IF(OR(K$4&lt;1,K$4&gt;hold_period_yrs),0,-insurance_annual*(1+expense_growth)^(K$4-1))</f>
        <v/>
      </c>
      <c r="L18" s="25">
        <f>IF(OR(L$4&lt;1,L$4&gt;hold_period_yrs),0,-insurance_annual*(1+expense_growth)^(L$4-1))</f>
        <v/>
      </c>
      <c r="M18" s="25">
        <f>IF(OR(M$4&lt;1,M$4&gt;hold_period_yrs),0,-insurance_annual*(1+expense_growth)^(M$4-1))</f>
        <v/>
      </c>
      <c r="N18" s="25">
        <f>IF(OR(N$4&lt;1,N$4&gt;hold_period_yrs),0,-insurance_annual*(1+expense_growth)^(N$4-1))</f>
        <v/>
      </c>
      <c r="O18" s="25">
        <f>IF(OR(O$4&lt;1,O$4&gt;hold_period_yrs),0,-insurance_annual*(1+expense_growth)^(O$4-1))</f>
        <v/>
      </c>
      <c r="P18" s="25">
        <f>IF(OR(P$4&lt;1,P$4&gt;hold_period_yrs),0,-insurance_annual*(1+expense_growth)^(P$4-1))</f>
        <v/>
      </c>
      <c r="Q18" s="25">
        <f>IF(OR(Q$4&lt;1,Q$4&gt;hold_period_yrs),0,-insurance_annual*(1+expense_growth)^(Q$4-1))</f>
        <v/>
      </c>
      <c r="R18" s="25">
        <f>IF(OR(R$4&lt;1,R$4&gt;hold_period_yrs),0,-insurance_annual*(1+expense_growth)^(R$4-1))</f>
        <v/>
      </c>
    </row>
    <row r="19">
      <c r="B19" s="5" t="inlineStr">
        <is>
          <t>Utilities</t>
        </is>
      </c>
      <c r="C19" s="25">
        <f>IF(OR(C$4&lt;1,C$4&gt;hold_period_yrs),0,-utilities_annual*(1+expense_growth)^(C$4-1))</f>
        <v/>
      </c>
      <c r="D19" s="25">
        <f>IF(OR(D$4&lt;1,D$4&gt;hold_period_yrs),0,-utilities_annual*(1+expense_growth)^(D$4-1))</f>
        <v/>
      </c>
      <c r="E19" s="25">
        <f>IF(OR(E$4&lt;1,E$4&gt;hold_period_yrs),0,-utilities_annual*(1+expense_growth)^(E$4-1))</f>
        <v/>
      </c>
      <c r="F19" s="25">
        <f>IF(OR(F$4&lt;1,F$4&gt;hold_period_yrs),0,-utilities_annual*(1+expense_growth)^(F$4-1))</f>
        <v/>
      </c>
      <c r="G19" s="25">
        <f>IF(OR(G$4&lt;1,G$4&gt;hold_period_yrs),0,-utilities_annual*(1+expense_growth)^(G$4-1))</f>
        <v/>
      </c>
      <c r="H19" s="25">
        <f>IF(OR(H$4&lt;1,H$4&gt;hold_period_yrs),0,-utilities_annual*(1+expense_growth)^(H$4-1))</f>
        <v/>
      </c>
      <c r="I19" s="25">
        <f>IF(OR(I$4&lt;1,I$4&gt;hold_period_yrs),0,-utilities_annual*(1+expense_growth)^(I$4-1))</f>
        <v/>
      </c>
      <c r="J19" s="25">
        <f>IF(OR(J$4&lt;1,J$4&gt;hold_period_yrs),0,-utilities_annual*(1+expense_growth)^(J$4-1))</f>
        <v/>
      </c>
      <c r="K19" s="25">
        <f>IF(OR(K$4&lt;1,K$4&gt;hold_period_yrs),0,-utilities_annual*(1+expense_growth)^(K$4-1))</f>
        <v/>
      </c>
      <c r="L19" s="25">
        <f>IF(OR(L$4&lt;1,L$4&gt;hold_period_yrs),0,-utilities_annual*(1+expense_growth)^(L$4-1))</f>
        <v/>
      </c>
      <c r="M19" s="25">
        <f>IF(OR(M$4&lt;1,M$4&gt;hold_period_yrs),0,-utilities_annual*(1+expense_growth)^(M$4-1))</f>
        <v/>
      </c>
      <c r="N19" s="25">
        <f>IF(OR(N$4&lt;1,N$4&gt;hold_period_yrs),0,-utilities_annual*(1+expense_growth)^(N$4-1))</f>
        <v/>
      </c>
      <c r="O19" s="25">
        <f>IF(OR(O$4&lt;1,O$4&gt;hold_period_yrs),0,-utilities_annual*(1+expense_growth)^(O$4-1))</f>
        <v/>
      </c>
      <c r="P19" s="25">
        <f>IF(OR(P$4&lt;1,P$4&gt;hold_period_yrs),0,-utilities_annual*(1+expense_growth)^(P$4-1))</f>
        <v/>
      </c>
      <c r="Q19" s="25">
        <f>IF(OR(Q$4&lt;1,Q$4&gt;hold_period_yrs),0,-utilities_annual*(1+expense_growth)^(Q$4-1))</f>
        <v/>
      </c>
      <c r="R19" s="25">
        <f>IF(OR(R$4&lt;1,R$4&gt;hold_period_yrs),0,-utilities_annual*(1+expense_growth)^(R$4-1))</f>
        <v/>
      </c>
    </row>
    <row r="20">
      <c r="B20" s="5" t="inlineStr">
        <is>
          <t>HOA / Other</t>
        </is>
      </c>
      <c r="C20" s="25">
        <f>IF(OR(C$4&lt;1,C$4&gt;hold_period_yrs),0,-hoa_annual*(1+expense_growth)^(C$4-1))</f>
        <v/>
      </c>
      <c r="D20" s="25">
        <f>IF(OR(D$4&lt;1,D$4&gt;hold_period_yrs),0,-hoa_annual*(1+expense_growth)^(D$4-1))</f>
        <v/>
      </c>
      <c r="E20" s="25">
        <f>IF(OR(E$4&lt;1,E$4&gt;hold_period_yrs),0,-hoa_annual*(1+expense_growth)^(E$4-1))</f>
        <v/>
      </c>
      <c r="F20" s="25">
        <f>IF(OR(F$4&lt;1,F$4&gt;hold_period_yrs),0,-hoa_annual*(1+expense_growth)^(F$4-1))</f>
        <v/>
      </c>
      <c r="G20" s="25">
        <f>IF(OR(G$4&lt;1,G$4&gt;hold_period_yrs),0,-hoa_annual*(1+expense_growth)^(G$4-1))</f>
        <v/>
      </c>
      <c r="H20" s="25">
        <f>IF(OR(H$4&lt;1,H$4&gt;hold_period_yrs),0,-hoa_annual*(1+expense_growth)^(H$4-1))</f>
        <v/>
      </c>
      <c r="I20" s="25">
        <f>IF(OR(I$4&lt;1,I$4&gt;hold_period_yrs),0,-hoa_annual*(1+expense_growth)^(I$4-1))</f>
        <v/>
      </c>
      <c r="J20" s="25">
        <f>IF(OR(J$4&lt;1,J$4&gt;hold_period_yrs),0,-hoa_annual*(1+expense_growth)^(J$4-1))</f>
        <v/>
      </c>
      <c r="K20" s="25">
        <f>IF(OR(K$4&lt;1,K$4&gt;hold_period_yrs),0,-hoa_annual*(1+expense_growth)^(K$4-1))</f>
        <v/>
      </c>
      <c r="L20" s="25">
        <f>IF(OR(L$4&lt;1,L$4&gt;hold_period_yrs),0,-hoa_annual*(1+expense_growth)^(L$4-1))</f>
        <v/>
      </c>
      <c r="M20" s="25">
        <f>IF(OR(M$4&lt;1,M$4&gt;hold_period_yrs),0,-hoa_annual*(1+expense_growth)^(M$4-1))</f>
        <v/>
      </c>
      <c r="N20" s="25">
        <f>IF(OR(N$4&lt;1,N$4&gt;hold_period_yrs),0,-hoa_annual*(1+expense_growth)^(N$4-1))</f>
        <v/>
      </c>
      <c r="O20" s="25">
        <f>IF(OR(O$4&lt;1,O$4&gt;hold_period_yrs),0,-hoa_annual*(1+expense_growth)^(O$4-1))</f>
        <v/>
      </c>
      <c r="P20" s="25">
        <f>IF(OR(P$4&lt;1,P$4&gt;hold_period_yrs),0,-hoa_annual*(1+expense_growth)^(P$4-1))</f>
        <v/>
      </c>
      <c r="Q20" s="25">
        <f>IF(OR(Q$4&lt;1,Q$4&gt;hold_period_yrs),0,-hoa_annual*(1+expense_growth)^(Q$4-1))</f>
        <v/>
      </c>
      <c r="R20" s="25">
        <f>IF(OR(R$4&lt;1,R$4&gt;hold_period_yrs),0,-hoa_annual*(1+expense_growth)^(R$4-1))</f>
        <v/>
      </c>
    </row>
    <row r="22">
      <c r="B22" s="29" t="inlineStr">
        <is>
          <t>Net Operating Income</t>
        </is>
      </c>
      <c r="C22" s="30">
        <f>IF(OR(C$4&lt;1,C$4&gt;hold_period_yrs),0,C9+C12+C13+C14+C17+C18+C19+C20)</f>
        <v/>
      </c>
      <c r="D22" s="30">
        <f>IF(OR(D$4&lt;1,D$4&gt;hold_period_yrs),0,D9+D12+D13+D14+D17+D18+D19+D20)</f>
        <v/>
      </c>
      <c r="E22" s="30">
        <f>IF(OR(E$4&lt;1,E$4&gt;hold_period_yrs),0,E9+E12+E13+E14+E17+E18+E19+E20)</f>
        <v/>
      </c>
      <c r="F22" s="30">
        <f>IF(OR(F$4&lt;1,F$4&gt;hold_period_yrs),0,F9+F12+F13+F14+F17+F18+F19+F20)</f>
        <v/>
      </c>
      <c r="G22" s="30">
        <f>IF(OR(G$4&lt;1,G$4&gt;hold_period_yrs),0,G9+G12+G13+G14+G17+G18+G19+G20)</f>
        <v/>
      </c>
      <c r="H22" s="30">
        <f>IF(OR(H$4&lt;1,H$4&gt;hold_period_yrs),0,H9+H12+H13+H14+H17+H18+H19+H20)</f>
        <v/>
      </c>
      <c r="I22" s="30">
        <f>IF(OR(I$4&lt;1,I$4&gt;hold_period_yrs),0,I9+I12+I13+I14+I17+I18+I19+I20)</f>
        <v/>
      </c>
      <c r="J22" s="30">
        <f>IF(OR(J$4&lt;1,J$4&gt;hold_period_yrs),0,J9+J12+J13+J14+J17+J18+J19+J20)</f>
        <v/>
      </c>
      <c r="K22" s="30">
        <f>IF(OR(K$4&lt;1,K$4&gt;hold_period_yrs),0,K9+K12+K13+K14+K17+K18+K19+K20)</f>
        <v/>
      </c>
      <c r="L22" s="30">
        <f>IF(OR(L$4&lt;1,L$4&gt;hold_period_yrs),0,L9+L12+L13+L14+L17+L18+L19+L20)</f>
        <v/>
      </c>
      <c r="M22" s="30">
        <f>IF(OR(M$4&lt;1,M$4&gt;hold_period_yrs),0,M9+M12+M13+M14+M17+M18+M19+M20)</f>
        <v/>
      </c>
      <c r="N22" s="30">
        <f>IF(OR(N$4&lt;1,N$4&gt;hold_period_yrs),0,N9+N12+N13+N14+N17+N18+N19+N20)</f>
        <v/>
      </c>
      <c r="O22" s="30">
        <f>IF(OR(O$4&lt;1,O$4&gt;hold_period_yrs),0,O9+O12+O13+O14+O17+O18+O19+O20)</f>
        <v/>
      </c>
      <c r="P22" s="30">
        <f>IF(OR(P$4&lt;1,P$4&gt;hold_period_yrs),0,P9+P12+P13+P14+P17+P18+P19+P20)</f>
        <v/>
      </c>
      <c r="Q22" s="30">
        <f>IF(OR(Q$4&lt;1,Q$4&gt;hold_period_yrs),0,Q9+Q12+Q13+Q14+Q17+Q18+Q19+Q20)</f>
        <v/>
      </c>
      <c r="R22" s="30">
        <f>IF(OR(R$4&lt;1,R$4&gt;hold_period_yrs),0,R9+R12+R13+R14+R17+R18+R19+R20)</f>
        <v/>
      </c>
    </row>
    <row r="24">
      <c r="B24" s="3" t="inlineStr">
        <is>
          <t>Debt Service</t>
        </is>
      </c>
    </row>
    <row r="25">
      <c r="B25" s="5" t="inlineStr">
        <is>
          <t>Active Loan Principal</t>
        </is>
      </c>
      <c r="C25" s="25">
        <f>IF(OR(C$4&lt;1,C$4&gt;hold_period_yrs),0,IF(AND(refi_year&gt;0,C$4&gt;=refi_year),arv*refi_ltv,purchase_price*(1-down_payment_pct)))</f>
        <v/>
      </c>
      <c r="D25" s="25">
        <f>IF(OR(D$4&lt;1,D$4&gt;hold_period_yrs),0,IF(AND(refi_year&gt;0,D$4&gt;=refi_year),arv*refi_ltv,purchase_price*(1-down_payment_pct)))</f>
        <v/>
      </c>
      <c r="E25" s="25">
        <f>IF(OR(E$4&lt;1,E$4&gt;hold_period_yrs),0,IF(AND(refi_year&gt;0,E$4&gt;=refi_year),arv*refi_ltv,purchase_price*(1-down_payment_pct)))</f>
        <v/>
      </c>
      <c r="F25" s="25">
        <f>IF(OR(F$4&lt;1,F$4&gt;hold_period_yrs),0,IF(AND(refi_year&gt;0,F$4&gt;=refi_year),arv*refi_ltv,purchase_price*(1-down_payment_pct)))</f>
        <v/>
      </c>
      <c r="G25" s="25">
        <f>IF(OR(G$4&lt;1,G$4&gt;hold_period_yrs),0,IF(AND(refi_year&gt;0,G$4&gt;=refi_year),arv*refi_ltv,purchase_price*(1-down_payment_pct)))</f>
        <v/>
      </c>
      <c r="H25" s="25">
        <f>IF(OR(H$4&lt;1,H$4&gt;hold_period_yrs),0,IF(AND(refi_year&gt;0,H$4&gt;=refi_year),arv*refi_ltv,purchase_price*(1-down_payment_pct)))</f>
        <v/>
      </c>
      <c r="I25" s="25">
        <f>IF(OR(I$4&lt;1,I$4&gt;hold_period_yrs),0,IF(AND(refi_year&gt;0,I$4&gt;=refi_year),arv*refi_ltv,purchase_price*(1-down_payment_pct)))</f>
        <v/>
      </c>
      <c r="J25" s="25">
        <f>IF(OR(J$4&lt;1,J$4&gt;hold_period_yrs),0,IF(AND(refi_year&gt;0,J$4&gt;=refi_year),arv*refi_ltv,purchase_price*(1-down_payment_pct)))</f>
        <v/>
      </c>
      <c r="K25" s="25">
        <f>IF(OR(K$4&lt;1,K$4&gt;hold_period_yrs),0,IF(AND(refi_year&gt;0,K$4&gt;=refi_year),arv*refi_ltv,purchase_price*(1-down_payment_pct)))</f>
        <v/>
      </c>
      <c r="L25" s="25">
        <f>IF(OR(L$4&lt;1,L$4&gt;hold_period_yrs),0,IF(AND(refi_year&gt;0,L$4&gt;=refi_year),arv*refi_ltv,purchase_price*(1-down_payment_pct)))</f>
        <v/>
      </c>
      <c r="M25" s="25">
        <f>IF(OR(M$4&lt;1,M$4&gt;hold_period_yrs),0,IF(AND(refi_year&gt;0,M$4&gt;=refi_year),arv*refi_ltv,purchase_price*(1-down_payment_pct)))</f>
        <v/>
      </c>
      <c r="N25" s="25">
        <f>IF(OR(N$4&lt;1,N$4&gt;hold_period_yrs),0,IF(AND(refi_year&gt;0,N$4&gt;=refi_year),arv*refi_ltv,purchase_price*(1-down_payment_pct)))</f>
        <v/>
      </c>
      <c r="O25" s="25">
        <f>IF(OR(O$4&lt;1,O$4&gt;hold_period_yrs),0,IF(AND(refi_year&gt;0,O$4&gt;=refi_year),arv*refi_ltv,purchase_price*(1-down_payment_pct)))</f>
        <v/>
      </c>
      <c r="P25" s="25">
        <f>IF(OR(P$4&lt;1,P$4&gt;hold_period_yrs),0,IF(AND(refi_year&gt;0,P$4&gt;=refi_year),arv*refi_ltv,purchase_price*(1-down_payment_pct)))</f>
        <v/>
      </c>
      <c r="Q25" s="25">
        <f>IF(OR(Q$4&lt;1,Q$4&gt;hold_period_yrs),0,IF(AND(refi_year&gt;0,Q$4&gt;=refi_year),arv*refi_ltv,purchase_price*(1-down_payment_pct)))</f>
        <v/>
      </c>
      <c r="R25" s="25">
        <f>IF(OR(R$4&lt;1,R$4&gt;hold_period_yrs),0,IF(AND(refi_year&gt;0,R$4&gt;=refi_year),arv*refi_ltv,purchase_price*(1-down_payment_pct)))</f>
        <v/>
      </c>
    </row>
    <row r="26">
      <c r="B26" s="5" t="inlineStr">
        <is>
          <t>Active Interest Rate</t>
        </is>
      </c>
      <c r="C26" s="31">
        <f>IF(OR(C$4&lt;1,C$4&gt;hold_period_yrs),0,IF(AND(refi_year&gt;0,C$4&gt;=refi_year),refi_interest_rate,interest_rate))</f>
        <v/>
      </c>
      <c r="D26" s="31">
        <f>IF(OR(D$4&lt;1,D$4&gt;hold_period_yrs),0,IF(AND(refi_year&gt;0,D$4&gt;=refi_year),refi_interest_rate,interest_rate))</f>
        <v/>
      </c>
      <c r="E26" s="31">
        <f>IF(OR(E$4&lt;1,E$4&gt;hold_period_yrs),0,IF(AND(refi_year&gt;0,E$4&gt;=refi_year),refi_interest_rate,interest_rate))</f>
        <v/>
      </c>
      <c r="F26" s="31">
        <f>IF(OR(F$4&lt;1,F$4&gt;hold_period_yrs),0,IF(AND(refi_year&gt;0,F$4&gt;=refi_year),refi_interest_rate,interest_rate))</f>
        <v/>
      </c>
      <c r="G26" s="31">
        <f>IF(OR(G$4&lt;1,G$4&gt;hold_period_yrs),0,IF(AND(refi_year&gt;0,G$4&gt;=refi_year),refi_interest_rate,interest_rate))</f>
        <v/>
      </c>
      <c r="H26" s="31">
        <f>IF(OR(H$4&lt;1,H$4&gt;hold_period_yrs),0,IF(AND(refi_year&gt;0,H$4&gt;=refi_year),refi_interest_rate,interest_rate))</f>
        <v/>
      </c>
      <c r="I26" s="31">
        <f>IF(OR(I$4&lt;1,I$4&gt;hold_period_yrs),0,IF(AND(refi_year&gt;0,I$4&gt;=refi_year),refi_interest_rate,interest_rate))</f>
        <v/>
      </c>
      <c r="J26" s="31">
        <f>IF(OR(J$4&lt;1,J$4&gt;hold_period_yrs),0,IF(AND(refi_year&gt;0,J$4&gt;=refi_year),refi_interest_rate,interest_rate))</f>
        <v/>
      </c>
      <c r="K26" s="31">
        <f>IF(OR(K$4&lt;1,K$4&gt;hold_period_yrs),0,IF(AND(refi_year&gt;0,K$4&gt;=refi_year),refi_interest_rate,interest_rate))</f>
        <v/>
      </c>
      <c r="L26" s="31">
        <f>IF(OR(L$4&lt;1,L$4&gt;hold_period_yrs),0,IF(AND(refi_year&gt;0,L$4&gt;=refi_year),refi_interest_rate,interest_rate))</f>
        <v/>
      </c>
      <c r="M26" s="31">
        <f>IF(OR(M$4&lt;1,M$4&gt;hold_period_yrs),0,IF(AND(refi_year&gt;0,M$4&gt;=refi_year),refi_interest_rate,interest_rate))</f>
        <v/>
      </c>
      <c r="N26" s="31">
        <f>IF(OR(N$4&lt;1,N$4&gt;hold_period_yrs),0,IF(AND(refi_year&gt;0,N$4&gt;=refi_year),refi_interest_rate,interest_rate))</f>
        <v/>
      </c>
      <c r="O26" s="31">
        <f>IF(OR(O$4&lt;1,O$4&gt;hold_period_yrs),0,IF(AND(refi_year&gt;0,O$4&gt;=refi_year),refi_interest_rate,interest_rate))</f>
        <v/>
      </c>
      <c r="P26" s="31">
        <f>IF(OR(P$4&lt;1,P$4&gt;hold_period_yrs),0,IF(AND(refi_year&gt;0,P$4&gt;=refi_year),refi_interest_rate,interest_rate))</f>
        <v/>
      </c>
      <c r="Q26" s="31">
        <f>IF(OR(Q$4&lt;1,Q$4&gt;hold_period_yrs),0,IF(AND(refi_year&gt;0,Q$4&gt;=refi_year),refi_interest_rate,interest_rate))</f>
        <v/>
      </c>
      <c r="R26" s="31">
        <f>IF(OR(R$4&lt;1,R$4&gt;hold_period_yrs),0,IF(AND(refi_year&gt;0,R$4&gt;=refi_year),refi_interest_rate,interest_rate))</f>
        <v/>
      </c>
    </row>
    <row r="27">
      <c r="B27" s="5" t="inlineStr">
        <is>
          <t>Active Loan Term (yrs)</t>
        </is>
      </c>
      <c r="C27" s="25">
        <f>IF(OR(C$4&lt;1,C$4&gt;hold_period_yrs),0,IF(AND(refi_year&gt;0,C$4&gt;=refi_year),refi_term_yrs,loan_term_yrs))</f>
        <v/>
      </c>
      <c r="D27" s="25">
        <f>IF(OR(D$4&lt;1,D$4&gt;hold_period_yrs),0,IF(AND(refi_year&gt;0,D$4&gt;=refi_year),refi_term_yrs,loan_term_yrs))</f>
        <v/>
      </c>
      <c r="E27" s="25">
        <f>IF(OR(E$4&lt;1,E$4&gt;hold_period_yrs),0,IF(AND(refi_year&gt;0,E$4&gt;=refi_year),refi_term_yrs,loan_term_yrs))</f>
        <v/>
      </c>
      <c r="F27" s="25">
        <f>IF(OR(F$4&lt;1,F$4&gt;hold_period_yrs),0,IF(AND(refi_year&gt;0,F$4&gt;=refi_year),refi_term_yrs,loan_term_yrs))</f>
        <v/>
      </c>
      <c r="G27" s="25">
        <f>IF(OR(G$4&lt;1,G$4&gt;hold_period_yrs),0,IF(AND(refi_year&gt;0,G$4&gt;=refi_year),refi_term_yrs,loan_term_yrs))</f>
        <v/>
      </c>
      <c r="H27" s="25">
        <f>IF(OR(H$4&lt;1,H$4&gt;hold_period_yrs),0,IF(AND(refi_year&gt;0,H$4&gt;=refi_year),refi_term_yrs,loan_term_yrs))</f>
        <v/>
      </c>
      <c r="I27" s="25">
        <f>IF(OR(I$4&lt;1,I$4&gt;hold_period_yrs),0,IF(AND(refi_year&gt;0,I$4&gt;=refi_year),refi_term_yrs,loan_term_yrs))</f>
        <v/>
      </c>
      <c r="J27" s="25">
        <f>IF(OR(J$4&lt;1,J$4&gt;hold_period_yrs),0,IF(AND(refi_year&gt;0,J$4&gt;=refi_year),refi_term_yrs,loan_term_yrs))</f>
        <v/>
      </c>
      <c r="K27" s="25">
        <f>IF(OR(K$4&lt;1,K$4&gt;hold_period_yrs),0,IF(AND(refi_year&gt;0,K$4&gt;=refi_year),refi_term_yrs,loan_term_yrs))</f>
        <v/>
      </c>
      <c r="L27" s="25">
        <f>IF(OR(L$4&lt;1,L$4&gt;hold_period_yrs),0,IF(AND(refi_year&gt;0,L$4&gt;=refi_year),refi_term_yrs,loan_term_yrs))</f>
        <v/>
      </c>
      <c r="M27" s="25">
        <f>IF(OR(M$4&lt;1,M$4&gt;hold_period_yrs),0,IF(AND(refi_year&gt;0,M$4&gt;=refi_year),refi_term_yrs,loan_term_yrs))</f>
        <v/>
      </c>
      <c r="N27" s="25">
        <f>IF(OR(N$4&lt;1,N$4&gt;hold_period_yrs),0,IF(AND(refi_year&gt;0,N$4&gt;=refi_year),refi_term_yrs,loan_term_yrs))</f>
        <v/>
      </c>
      <c r="O27" s="25">
        <f>IF(OR(O$4&lt;1,O$4&gt;hold_period_yrs),0,IF(AND(refi_year&gt;0,O$4&gt;=refi_year),refi_term_yrs,loan_term_yrs))</f>
        <v/>
      </c>
      <c r="P27" s="25">
        <f>IF(OR(P$4&lt;1,P$4&gt;hold_period_yrs),0,IF(AND(refi_year&gt;0,P$4&gt;=refi_year),refi_term_yrs,loan_term_yrs))</f>
        <v/>
      </c>
      <c r="Q27" s="25">
        <f>IF(OR(Q$4&lt;1,Q$4&gt;hold_period_yrs),0,IF(AND(refi_year&gt;0,Q$4&gt;=refi_year),refi_term_yrs,loan_term_yrs))</f>
        <v/>
      </c>
      <c r="R27" s="25">
        <f>IF(OR(R$4&lt;1,R$4&gt;hold_period_yrs),0,IF(AND(refi_year&gt;0,R$4&gt;=refi_year),refi_term_yrs,loan_term_yrs))</f>
        <v/>
      </c>
    </row>
    <row r="28">
      <c r="B28" s="5" t="inlineStr">
        <is>
          <t>Monthly Payment</t>
        </is>
      </c>
      <c r="C28" s="25">
        <f>IF(OR(C$4&lt;1,C$4&gt;hold_period_yrs),0,IFERROR(-PMT(C26/12,C27*12,C25),0))</f>
        <v/>
      </c>
      <c r="D28" s="25">
        <f>IF(OR(D$4&lt;1,D$4&gt;hold_period_yrs),0,IFERROR(-PMT(D26/12,D27*12,D25),0))</f>
        <v/>
      </c>
      <c r="E28" s="25">
        <f>IF(OR(E$4&lt;1,E$4&gt;hold_period_yrs),0,IFERROR(-PMT(E26/12,E27*12,E25),0))</f>
        <v/>
      </c>
      <c r="F28" s="25">
        <f>IF(OR(F$4&lt;1,F$4&gt;hold_period_yrs),0,IFERROR(-PMT(F26/12,F27*12,F25),0))</f>
        <v/>
      </c>
      <c r="G28" s="25">
        <f>IF(OR(G$4&lt;1,G$4&gt;hold_period_yrs),0,IFERROR(-PMT(G26/12,G27*12,G25),0))</f>
        <v/>
      </c>
      <c r="H28" s="25">
        <f>IF(OR(H$4&lt;1,H$4&gt;hold_period_yrs),0,IFERROR(-PMT(H26/12,H27*12,H25),0))</f>
        <v/>
      </c>
      <c r="I28" s="25">
        <f>IF(OR(I$4&lt;1,I$4&gt;hold_period_yrs),0,IFERROR(-PMT(I26/12,I27*12,I25),0))</f>
        <v/>
      </c>
      <c r="J28" s="25">
        <f>IF(OR(J$4&lt;1,J$4&gt;hold_period_yrs),0,IFERROR(-PMT(J26/12,J27*12,J25),0))</f>
        <v/>
      </c>
      <c r="K28" s="25">
        <f>IF(OR(K$4&lt;1,K$4&gt;hold_period_yrs),0,IFERROR(-PMT(K26/12,K27*12,K25),0))</f>
        <v/>
      </c>
      <c r="L28" s="25">
        <f>IF(OR(L$4&lt;1,L$4&gt;hold_period_yrs),0,IFERROR(-PMT(L26/12,L27*12,L25),0))</f>
        <v/>
      </c>
      <c r="M28" s="25">
        <f>IF(OR(M$4&lt;1,M$4&gt;hold_period_yrs),0,IFERROR(-PMT(M26/12,M27*12,M25),0))</f>
        <v/>
      </c>
      <c r="N28" s="25">
        <f>IF(OR(N$4&lt;1,N$4&gt;hold_period_yrs),0,IFERROR(-PMT(N26/12,N27*12,N25),0))</f>
        <v/>
      </c>
      <c r="O28" s="25">
        <f>IF(OR(O$4&lt;1,O$4&gt;hold_period_yrs),0,IFERROR(-PMT(O26/12,O27*12,O25),0))</f>
        <v/>
      </c>
      <c r="P28" s="25">
        <f>IF(OR(P$4&lt;1,P$4&gt;hold_period_yrs),0,IFERROR(-PMT(P26/12,P27*12,P25),0))</f>
        <v/>
      </c>
      <c r="Q28" s="25">
        <f>IF(OR(Q$4&lt;1,Q$4&gt;hold_period_yrs),0,IFERROR(-PMT(Q26/12,Q27*12,Q25),0))</f>
        <v/>
      </c>
      <c r="R28" s="25">
        <f>IF(OR(R$4&lt;1,R$4&gt;hold_period_yrs),0,IFERROR(-PMT(R26/12,R27*12,R25),0))</f>
        <v/>
      </c>
    </row>
    <row r="29">
      <c r="B29" s="29" t="inlineStr">
        <is>
          <t>Annual Debt Service</t>
        </is>
      </c>
      <c r="C29" s="30">
        <f>IF(OR(C$4&lt;1,C$4&gt;hold_period_yrs),0,-C28*12)</f>
        <v/>
      </c>
      <c r="D29" s="30">
        <f>IF(OR(D$4&lt;1,D$4&gt;hold_period_yrs),0,-D28*12)</f>
        <v/>
      </c>
      <c r="E29" s="30">
        <f>IF(OR(E$4&lt;1,E$4&gt;hold_period_yrs),0,-E28*12)</f>
        <v/>
      </c>
      <c r="F29" s="30">
        <f>IF(OR(F$4&lt;1,F$4&gt;hold_period_yrs),0,-F28*12)</f>
        <v/>
      </c>
      <c r="G29" s="30">
        <f>IF(OR(G$4&lt;1,G$4&gt;hold_period_yrs),0,-G28*12)</f>
        <v/>
      </c>
      <c r="H29" s="30">
        <f>IF(OR(H$4&lt;1,H$4&gt;hold_period_yrs),0,-H28*12)</f>
        <v/>
      </c>
      <c r="I29" s="30">
        <f>IF(OR(I$4&lt;1,I$4&gt;hold_period_yrs),0,-I28*12)</f>
        <v/>
      </c>
      <c r="J29" s="30">
        <f>IF(OR(J$4&lt;1,J$4&gt;hold_period_yrs),0,-J28*12)</f>
        <v/>
      </c>
      <c r="K29" s="30">
        <f>IF(OR(K$4&lt;1,K$4&gt;hold_period_yrs),0,-K28*12)</f>
        <v/>
      </c>
      <c r="L29" s="30">
        <f>IF(OR(L$4&lt;1,L$4&gt;hold_period_yrs),0,-L28*12)</f>
        <v/>
      </c>
      <c r="M29" s="30">
        <f>IF(OR(M$4&lt;1,M$4&gt;hold_period_yrs),0,-M28*12)</f>
        <v/>
      </c>
      <c r="N29" s="30">
        <f>IF(OR(N$4&lt;1,N$4&gt;hold_period_yrs),0,-N28*12)</f>
        <v/>
      </c>
      <c r="O29" s="30">
        <f>IF(OR(O$4&lt;1,O$4&gt;hold_period_yrs),0,-O28*12)</f>
        <v/>
      </c>
      <c r="P29" s="30">
        <f>IF(OR(P$4&lt;1,P$4&gt;hold_period_yrs),0,-P28*12)</f>
        <v/>
      </c>
      <c r="Q29" s="30">
        <f>IF(OR(Q$4&lt;1,Q$4&gt;hold_period_yrs),0,-Q28*12)</f>
        <v/>
      </c>
      <c r="R29" s="30">
        <f>IF(OR(R$4&lt;1,R$4&gt;hold_period_yrs),0,-R28*12)</f>
        <v/>
      </c>
    </row>
    <row r="31">
      <c r="B31" s="3" t="inlineStr">
        <is>
          <t>Capital Flows</t>
        </is>
      </c>
    </row>
    <row r="32">
      <c r="B32" s="5" t="inlineStr">
        <is>
          <t>Acquisition Cost</t>
        </is>
      </c>
      <c r="C32" s="25">
        <f>IF(C$4=0,-(purchase_price*down_payment_pct+purchase_price*closing_cost_pct+rehab_cost+(C28*holding_months)),0)</f>
        <v/>
      </c>
      <c r="D32" s="25">
        <f>IF(D$4=0,-(purchase_price*down_payment_pct+purchase_price*closing_cost_pct+rehab_cost+(D28*holding_months)),0)</f>
        <v/>
      </c>
      <c r="E32" s="25">
        <f>IF(E$4=0,-(purchase_price*down_payment_pct+purchase_price*closing_cost_pct+rehab_cost+(E28*holding_months)),0)</f>
        <v/>
      </c>
      <c r="F32" s="25">
        <f>IF(F$4=0,-(purchase_price*down_payment_pct+purchase_price*closing_cost_pct+rehab_cost+(F28*holding_months)),0)</f>
        <v/>
      </c>
      <c r="G32" s="25">
        <f>IF(G$4=0,-(purchase_price*down_payment_pct+purchase_price*closing_cost_pct+rehab_cost+(G28*holding_months)),0)</f>
        <v/>
      </c>
      <c r="H32" s="25">
        <f>IF(H$4=0,-(purchase_price*down_payment_pct+purchase_price*closing_cost_pct+rehab_cost+(H28*holding_months)),0)</f>
        <v/>
      </c>
      <c r="I32" s="25">
        <f>IF(I$4=0,-(purchase_price*down_payment_pct+purchase_price*closing_cost_pct+rehab_cost+(I28*holding_months)),0)</f>
        <v/>
      </c>
      <c r="J32" s="25">
        <f>IF(J$4=0,-(purchase_price*down_payment_pct+purchase_price*closing_cost_pct+rehab_cost+(J28*holding_months)),0)</f>
        <v/>
      </c>
      <c r="K32" s="25">
        <f>IF(K$4=0,-(purchase_price*down_payment_pct+purchase_price*closing_cost_pct+rehab_cost+(K28*holding_months)),0)</f>
        <v/>
      </c>
      <c r="L32" s="25">
        <f>IF(L$4=0,-(purchase_price*down_payment_pct+purchase_price*closing_cost_pct+rehab_cost+(L28*holding_months)),0)</f>
        <v/>
      </c>
      <c r="M32" s="25">
        <f>IF(M$4=0,-(purchase_price*down_payment_pct+purchase_price*closing_cost_pct+rehab_cost+(M28*holding_months)),0)</f>
        <v/>
      </c>
      <c r="N32" s="25">
        <f>IF(N$4=0,-(purchase_price*down_payment_pct+purchase_price*closing_cost_pct+rehab_cost+(N28*holding_months)),0)</f>
        <v/>
      </c>
      <c r="O32" s="25">
        <f>IF(O$4=0,-(purchase_price*down_payment_pct+purchase_price*closing_cost_pct+rehab_cost+(O28*holding_months)),0)</f>
        <v/>
      </c>
      <c r="P32" s="25">
        <f>IF(P$4=0,-(purchase_price*down_payment_pct+purchase_price*closing_cost_pct+rehab_cost+(P28*holding_months)),0)</f>
        <v/>
      </c>
      <c r="Q32" s="25">
        <f>IF(Q$4=0,-(purchase_price*down_payment_pct+purchase_price*closing_cost_pct+rehab_cost+(Q28*holding_months)),0)</f>
        <v/>
      </c>
      <c r="R32" s="25">
        <f>IF(R$4=0,-(purchase_price*down_payment_pct+purchase_price*closing_cost_pct+rehab_cost+(R28*holding_months)),0)</f>
        <v/>
      </c>
    </row>
    <row r="33">
      <c r="B33" s="5" t="inlineStr">
        <is>
          <t>Refi Cash-Out</t>
        </is>
      </c>
      <c r="C33" s="25">
        <f>IF(AND(refi_year&gt;0,C$4=refi_year),(arv*refi_ltv)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D33" s="25">
        <f>IF(AND(refi_year&gt;0,D$4=refi_year),(arv*refi_ltv)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E33" s="25">
        <f>IF(AND(refi_year&gt;0,E$4=refi_year),(arv*refi_ltv)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F33" s="25">
        <f>IF(AND(refi_year&gt;0,F$4=refi_year),(arv*refi_ltv)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G33" s="25">
        <f>IF(AND(refi_year&gt;0,G$4=refi_year),(arv*refi_ltv)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H33" s="25">
        <f>IF(AND(refi_year&gt;0,H$4=refi_year),(arv*refi_ltv)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I33" s="25">
        <f>IF(AND(refi_year&gt;0,I$4=refi_year),(arv*refi_ltv)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J33" s="25">
        <f>IF(AND(refi_year&gt;0,J$4=refi_year),(arv*refi_ltv)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K33" s="25">
        <f>IF(AND(refi_year&gt;0,K$4=refi_year),(arv*refi_ltv)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L33" s="25">
        <f>IF(AND(refi_year&gt;0,L$4=refi_year),(arv*refi_ltv)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M33" s="25">
        <f>IF(AND(refi_year&gt;0,M$4=refi_year),(arv*refi_ltv)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N33" s="25">
        <f>IF(AND(refi_year&gt;0,N$4=refi_year),(arv*refi_ltv)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O33" s="25">
        <f>IF(AND(refi_year&gt;0,O$4=refi_year),(arv*refi_ltv)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P33" s="25">
        <f>IF(AND(refi_year&gt;0,P$4=refi_year),(arv*refi_ltv)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Q33" s="25">
        <f>IF(AND(refi_year&gt;0,Q$4=refi_year),(arv*refi_ltv)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R33" s="25">
        <f>IF(AND(refi_year&gt;0,R$4=refi_year),(arv*refi_ltv)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</row>
    <row r="34">
      <c r="B34" s="5" t="inlineStr">
        <is>
          <t>Exit Proceeds (Net)</t>
        </is>
      </c>
      <c r="C34" s="25">
        <f>IF(C$4=hold_period_yrs,(C22*(1+rent_growth)/exit_cap_rate)*(1-cost_of_sale_pct) - IFERROR(ABS(FV(C26/12,IF(refi_year&gt;0,hold_period_yrs-refi_year+1,hold_period_yrs)*12,-C28,C25)),0),0)</f>
        <v/>
      </c>
      <c r="D34" s="25">
        <f>IF(D$4=hold_period_yrs,(D22*(1+rent_growth)/exit_cap_rate)*(1-cost_of_sale_pct) - IFERROR(ABS(FV(D26/12,IF(refi_year&gt;0,hold_period_yrs-refi_year+1,hold_period_yrs)*12,-D28,D25)),0),0)</f>
        <v/>
      </c>
      <c r="E34" s="25">
        <f>IF(E$4=hold_period_yrs,(E22*(1+rent_growth)/exit_cap_rate)*(1-cost_of_sale_pct) - IFERROR(ABS(FV(E26/12,IF(refi_year&gt;0,hold_period_yrs-refi_year+1,hold_period_yrs)*12,-E28,E25)),0),0)</f>
        <v/>
      </c>
      <c r="F34" s="25">
        <f>IF(F$4=hold_period_yrs,(F22*(1+rent_growth)/exit_cap_rate)*(1-cost_of_sale_pct) - IFERROR(ABS(FV(F26/12,IF(refi_year&gt;0,hold_period_yrs-refi_year+1,hold_period_yrs)*12,-F28,F25)),0),0)</f>
        <v/>
      </c>
      <c r="G34" s="25">
        <f>IF(G$4=hold_period_yrs,(G22*(1+rent_growth)/exit_cap_rate)*(1-cost_of_sale_pct) - IFERROR(ABS(FV(G26/12,IF(refi_year&gt;0,hold_period_yrs-refi_year+1,hold_period_yrs)*12,-G28,G25)),0),0)</f>
        <v/>
      </c>
      <c r="H34" s="25">
        <f>IF(H$4=hold_period_yrs,(H22*(1+rent_growth)/exit_cap_rate)*(1-cost_of_sale_pct) - IFERROR(ABS(FV(H26/12,IF(refi_year&gt;0,hold_period_yrs-refi_year+1,hold_period_yrs)*12,-H28,H25)),0),0)</f>
        <v/>
      </c>
      <c r="I34" s="25">
        <f>IF(I$4=hold_period_yrs,(I22*(1+rent_growth)/exit_cap_rate)*(1-cost_of_sale_pct) - IFERROR(ABS(FV(I26/12,IF(refi_year&gt;0,hold_period_yrs-refi_year+1,hold_period_yrs)*12,-I28,I25)),0),0)</f>
        <v/>
      </c>
      <c r="J34" s="25">
        <f>IF(J$4=hold_period_yrs,(J22*(1+rent_growth)/exit_cap_rate)*(1-cost_of_sale_pct) - IFERROR(ABS(FV(J26/12,IF(refi_year&gt;0,hold_period_yrs-refi_year+1,hold_period_yrs)*12,-J28,J25)),0),0)</f>
        <v/>
      </c>
      <c r="K34" s="25">
        <f>IF(K$4=hold_period_yrs,(K22*(1+rent_growth)/exit_cap_rate)*(1-cost_of_sale_pct) - IFERROR(ABS(FV(K26/12,IF(refi_year&gt;0,hold_period_yrs-refi_year+1,hold_period_yrs)*12,-K28,K25)),0),0)</f>
        <v/>
      </c>
      <c r="L34" s="25">
        <f>IF(L$4=hold_period_yrs,(L22*(1+rent_growth)/exit_cap_rate)*(1-cost_of_sale_pct) - IFERROR(ABS(FV(L26/12,IF(refi_year&gt;0,hold_period_yrs-refi_year+1,hold_period_yrs)*12,-L28,L25)),0),0)</f>
        <v/>
      </c>
      <c r="M34" s="25">
        <f>IF(M$4=hold_period_yrs,(M22*(1+rent_growth)/exit_cap_rate)*(1-cost_of_sale_pct) - IFERROR(ABS(FV(M26/12,IF(refi_year&gt;0,hold_period_yrs-refi_year+1,hold_period_yrs)*12,-M28,M25)),0),0)</f>
        <v/>
      </c>
      <c r="N34" s="25">
        <f>IF(N$4=hold_period_yrs,(N22*(1+rent_growth)/exit_cap_rate)*(1-cost_of_sale_pct) - IFERROR(ABS(FV(N26/12,IF(refi_year&gt;0,hold_period_yrs-refi_year+1,hold_period_yrs)*12,-N28,N25)),0),0)</f>
        <v/>
      </c>
      <c r="O34" s="25">
        <f>IF(O$4=hold_period_yrs,(O22*(1+rent_growth)/exit_cap_rate)*(1-cost_of_sale_pct) - IFERROR(ABS(FV(O26/12,IF(refi_year&gt;0,hold_period_yrs-refi_year+1,hold_period_yrs)*12,-O28,O25)),0),0)</f>
        <v/>
      </c>
      <c r="P34" s="25">
        <f>IF(P$4=hold_period_yrs,(P22*(1+rent_growth)/exit_cap_rate)*(1-cost_of_sale_pct) - IFERROR(ABS(FV(P26/12,IF(refi_year&gt;0,hold_period_yrs-refi_year+1,hold_period_yrs)*12,-P28,P25)),0),0)</f>
        <v/>
      </c>
      <c r="Q34" s="25">
        <f>IF(Q$4=hold_period_yrs,(Q22*(1+rent_growth)/exit_cap_rate)*(1-cost_of_sale_pct) - IFERROR(ABS(FV(Q26/12,IF(refi_year&gt;0,hold_period_yrs-refi_year+1,hold_period_yrs)*12,-Q28,Q25)),0),0)</f>
        <v/>
      </c>
      <c r="R34" s="25">
        <f>IF(R$4=hold_period_yrs,(R22*(1+rent_growth)/exit_cap_rate)*(1-cost_of_sale_pct) - IFERROR(ABS(FV(R26/12,IF(refi_year&gt;0,hold_period_yrs-refi_year+1,hold_period_yrs)*12,-R28,R25)),0),0)</f>
        <v/>
      </c>
    </row>
    <row r="36">
      <c r="B36" s="29" t="inlineStr">
        <is>
          <t>Net Cash Flow</t>
        </is>
      </c>
      <c r="C36" s="30">
        <f>IF(C$4&gt;hold_period_yrs,0,C22+C29+C32+C33+C34)</f>
        <v/>
      </c>
      <c r="D36" s="30">
        <f>IF(D$4&gt;hold_period_yrs,0,D22+D29+D32+D33+D34)</f>
        <v/>
      </c>
      <c r="E36" s="30">
        <f>IF(E$4&gt;hold_period_yrs,0,E22+E29+E32+E33+E34)</f>
        <v/>
      </c>
      <c r="F36" s="30">
        <f>IF(F$4&gt;hold_period_yrs,0,F22+F29+F32+F33+F34)</f>
        <v/>
      </c>
      <c r="G36" s="30">
        <f>IF(G$4&gt;hold_period_yrs,0,G22+G29+G32+G33+G34)</f>
        <v/>
      </c>
      <c r="H36" s="30">
        <f>IF(H$4&gt;hold_period_yrs,0,H22+H29+H32+H33+H34)</f>
        <v/>
      </c>
      <c r="I36" s="30">
        <f>IF(I$4&gt;hold_period_yrs,0,I22+I29+I32+I33+I34)</f>
        <v/>
      </c>
      <c r="J36" s="30">
        <f>IF(J$4&gt;hold_period_yrs,0,J22+J29+J32+J33+J34)</f>
        <v/>
      </c>
      <c r="K36" s="30">
        <f>IF(K$4&gt;hold_period_yrs,0,K22+K29+K32+K33+K34)</f>
        <v/>
      </c>
      <c r="L36" s="30">
        <f>IF(L$4&gt;hold_period_yrs,0,L22+L29+L32+L33+L34)</f>
        <v/>
      </c>
      <c r="M36" s="30">
        <f>IF(M$4&gt;hold_period_yrs,0,M22+M29+M32+M33+M34)</f>
        <v/>
      </c>
      <c r="N36" s="30">
        <f>IF(N$4&gt;hold_period_yrs,0,N22+N29+N32+N33+N34)</f>
        <v/>
      </c>
      <c r="O36" s="30">
        <f>IF(O$4&gt;hold_period_yrs,0,O22+O29+O32+O33+O34)</f>
        <v/>
      </c>
      <c r="P36" s="30">
        <f>IF(P$4&gt;hold_period_yrs,0,P22+P29+P32+P33+P34)</f>
        <v/>
      </c>
      <c r="Q36" s="30">
        <f>IF(Q$4&gt;hold_period_yrs,0,Q22+Q29+Q32+Q33+Q34)</f>
        <v/>
      </c>
      <c r="R36" s="30">
        <f>IF(R$4&gt;hold_period_yrs,0,R22+R29+R32+R33+R34)</f>
        <v/>
      </c>
    </row>
    <row r="37">
      <c r="B37" s="5" t="inlineStr">
        <is>
          <t>DSCR</t>
        </is>
      </c>
      <c r="C37" s="32">
        <f>IF(OR(C$4&lt;1,C$4&gt;hold_period_yrs,C29=0),"",IFERROR(C22/-C29,""))</f>
        <v/>
      </c>
      <c r="D37" s="32">
        <f>IF(OR(D$4&lt;1,D$4&gt;hold_period_yrs,D29=0),"",IFERROR(D22/-D29,""))</f>
        <v/>
      </c>
      <c r="E37" s="32">
        <f>IF(OR(E$4&lt;1,E$4&gt;hold_period_yrs,E29=0),"",IFERROR(E22/-E29,""))</f>
        <v/>
      </c>
      <c r="F37" s="32">
        <f>IF(OR(F$4&lt;1,F$4&gt;hold_period_yrs,F29=0),"",IFERROR(F22/-F29,""))</f>
        <v/>
      </c>
      <c r="G37" s="32">
        <f>IF(OR(G$4&lt;1,G$4&gt;hold_period_yrs,G29=0),"",IFERROR(G22/-G29,""))</f>
        <v/>
      </c>
      <c r="H37" s="32">
        <f>IF(OR(H$4&lt;1,H$4&gt;hold_period_yrs,H29=0),"",IFERROR(H22/-H29,""))</f>
        <v/>
      </c>
      <c r="I37" s="32">
        <f>IF(OR(I$4&lt;1,I$4&gt;hold_period_yrs,I29=0),"",IFERROR(I22/-I29,""))</f>
        <v/>
      </c>
      <c r="J37" s="32">
        <f>IF(OR(J$4&lt;1,J$4&gt;hold_period_yrs,J29=0),"",IFERROR(J22/-J29,""))</f>
        <v/>
      </c>
      <c r="K37" s="32">
        <f>IF(OR(K$4&lt;1,K$4&gt;hold_period_yrs,K29=0),"",IFERROR(K22/-K29,""))</f>
        <v/>
      </c>
      <c r="L37" s="32">
        <f>IF(OR(L$4&lt;1,L$4&gt;hold_period_yrs,L29=0),"",IFERROR(L22/-L29,""))</f>
        <v/>
      </c>
      <c r="M37" s="32">
        <f>IF(OR(M$4&lt;1,M$4&gt;hold_period_yrs,M29=0),"",IFERROR(M22/-M29,""))</f>
        <v/>
      </c>
      <c r="N37" s="32">
        <f>IF(OR(N$4&lt;1,N$4&gt;hold_period_yrs,N29=0),"",IFERROR(N22/-N29,""))</f>
        <v/>
      </c>
      <c r="O37" s="32">
        <f>IF(OR(O$4&lt;1,O$4&gt;hold_period_yrs,O29=0),"",IFERROR(O22/-O29,""))</f>
        <v/>
      </c>
      <c r="P37" s="32">
        <f>IF(OR(P$4&lt;1,P$4&gt;hold_period_yrs,P29=0),"",IFERROR(P22/-P29,""))</f>
        <v/>
      </c>
      <c r="Q37" s="32">
        <f>IF(OR(Q$4&lt;1,Q$4&gt;hold_period_yrs,Q29=0),"",IFERROR(Q22/-Q29,""))</f>
        <v/>
      </c>
      <c r="R37" s="32">
        <f>IF(OR(R$4&lt;1,R$4&gt;hold_period_yrs,R29=0),"",IFERROR(R22/-R29,""))</f>
        <v/>
      </c>
    </row>
  </sheetData>
  <printOptions horizontalCentered="0" verticalCentered="0" gridLines="0"/>
  <pageMargins left="0.35" right="0.35" top="0.7" bottom="0.45" header="0.3" footer="0.25"/>
  <pageSetup orientation="landscape" paperSize="1" fitToHeight="0" fitToWidth="1"/>
  <headerFooter>
    <oddHeader>&amp;LSean Dillard  |  www.seandillard.com&amp;RProperty Analysis</oddHeader>
    <oddFooter>&amp;LCashflow&amp;CConfidential&amp;RPage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F22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22" customWidth="1" min="4" max="4"/>
    <col width="14" customWidth="1" min="5" max="5"/>
    <col width="50" customWidth="1" min="6" max="6"/>
  </cols>
  <sheetData>
    <row r="1">
      <c r="B1" s="1" t="inlineStr">
        <is>
          <t>Audit Checks</t>
        </is>
      </c>
    </row>
    <row r="3">
      <c r="B3" s="20" t="inlineStr">
        <is>
          <t>Check</t>
        </is>
      </c>
      <c r="C3" s="20" t="inlineStr">
        <is>
          <t>Expected</t>
        </is>
      </c>
      <c r="D3" s="20" t="inlineStr">
        <is>
          <t>Actual</t>
        </is>
      </c>
      <c r="E3" s="20" t="inlineStr">
        <is>
          <t>Status</t>
        </is>
      </c>
      <c r="F3" s="20" t="inlineStr">
        <is>
          <t>Notes</t>
        </is>
      </c>
    </row>
    <row r="4">
      <c r="B4" s="3" t="inlineStr">
        <is>
          <t>A. Workbook Health</t>
        </is>
      </c>
      <c r="C4" s="4" t="n"/>
      <c r="D4" s="4" t="n"/>
      <c r="E4" s="4" t="n"/>
      <c r="F4" s="4" t="n"/>
    </row>
    <row r="5">
      <c r="B5" s="5" t="inlineStr">
        <is>
          <t>Purchase price is positive</t>
        </is>
      </c>
      <c r="C5" s="33" t="inlineStr">
        <is>
          <t>&gt;0</t>
        </is>
      </c>
      <c r="D5" s="34">
        <f>purchase_price</f>
        <v/>
      </c>
      <c r="E5" s="22">
        <f>IF(purchase_price&gt;0,"PASS","FAIL")</f>
        <v/>
      </c>
      <c r="F5" s="10" t="inlineStr">
        <is>
          <t>Purchase price must be a positive number.</t>
        </is>
      </c>
    </row>
    <row r="6">
      <c r="B6" s="5" t="inlineStr">
        <is>
          <t>ARV is positive</t>
        </is>
      </c>
      <c r="C6" s="33" t="inlineStr">
        <is>
          <t>&gt;0</t>
        </is>
      </c>
      <c r="D6" s="34">
        <f>arv</f>
        <v/>
      </c>
      <c r="E6" s="22">
        <f>IF(arv&gt;0,"PASS","FAIL")</f>
        <v/>
      </c>
      <c r="F6" s="10" t="inlineStr">
        <is>
          <t>After-repair value must be a positive number.</t>
        </is>
      </c>
    </row>
    <row r="7">
      <c r="B7" s="5" t="inlineStr">
        <is>
          <t>Monthly rent is positive</t>
        </is>
      </c>
      <c r="C7" s="33" t="inlineStr">
        <is>
          <t>&gt;0</t>
        </is>
      </c>
      <c r="D7" s="34">
        <f>monthly_rent</f>
        <v/>
      </c>
      <c r="E7" s="22">
        <f>IF(monthly_rent&gt;0,"PASS","FAIL")</f>
        <v/>
      </c>
      <c r="F7" s="10" t="inlineStr">
        <is>
          <t>Rent must be &gt; 0 for the model to produce returns.</t>
        </is>
      </c>
    </row>
    <row r="8">
      <c r="B8" s="5" t="inlineStr">
        <is>
          <t>Hold period is at least 1 year</t>
        </is>
      </c>
      <c r="C8" s="33" t="inlineStr">
        <is>
          <t>&gt;=1</t>
        </is>
      </c>
      <c r="D8" s="34">
        <f>hold_period_yrs</f>
        <v/>
      </c>
      <c r="E8" s="22">
        <f>IF(hold_period_yrs&gt;=1,"PASS","FAIL")</f>
        <v/>
      </c>
      <c r="F8" s="10" t="inlineStr">
        <is>
          <t>Cannot model a zero-year hold.</t>
        </is>
      </c>
    </row>
    <row r="9">
      <c r="B9" s="5" t="inlineStr">
        <is>
          <t>Down payment between 0 and 100%</t>
        </is>
      </c>
      <c r="C9" s="33" t="inlineStr">
        <is>
          <t>0 to 1</t>
        </is>
      </c>
      <c r="D9" s="35">
        <f>down_payment_pct</f>
        <v/>
      </c>
      <c r="E9" s="22">
        <f>IF(AND(down_payment_pct&gt;=0,down_payment_pct&lt;=1),"PASS","FAIL")</f>
        <v/>
      </c>
      <c r="F9" s="10" t="inlineStr">
        <is>
          <t>1.0 = all cash; 0.20 = 20% down. Anything outside [0,1] is an error.</t>
        </is>
      </c>
    </row>
    <row r="11">
      <c r="B11" s="3" t="inlineStr">
        <is>
          <t>B. Sign Convention</t>
        </is>
      </c>
      <c r="C11" s="4" t="n"/>
      <c r="D11" s="4" t="n"/>
      <c r="E11" s="4" t="n"/>
      <c r="F11" s="4" t="n"/>
    </row>
    <row r="12">
      <c r="B12" s="5" t="inlineStr">
        <is>
          <t>Year 1 Gross Rent is positive</t>
        </is>
      </c>
      <c r="C12" s="33" t="inlineStr">
        <is>
          <t>&gt;0</t>
        </is>
      </c>
      <c r="D12" s="34">
        <f>'Cashflow'!D7</f>
        <v/>
      </c>
      <c r="E12" s="22">
        <f>IF('Cashflow'!D7&gt;0,"PASS","FAIL")</f>
        <v/>
      </c>
      <c r="F12" s="10" t="inlineStr">
        <is>
          <t>Rent must come through as positive cash flow.</t>
        </is>
      </c>
    </row>
    <row r="13">
      <c r="B13" s="5" t="inlineStr">
        <is>
          <t>Year 1 Property Tax is negative</t>
        </is>
      </c>
      <c r="C13" s="33" t="inlineStr">
        <is>
          <t>&lt;0</t>
        </is>
      </c>
      <c r="D13" s="34">
        <f>'Cashflow'!D17</f>
        <v/>
      </c>
      <c r="E13" s="22">
        <f>IF('Cashflow'!D17&lt;=0,"PASS","FAIL")</f>
        <v/>
      </c>
      <c r="F13" s="10" t="inlineStr">
        <is>
          <t>Expenses display as negative.</t>
        </is>
      </c>
    </row>
    <row r="14">
      <c r="B14" s="5" t="inlineStr">
        <is>
          <t>Year 1 Debt Service is negative or zero</t>
        </is>
      </c>
      <c r="C14" s="33" t="inlineStr">
        <is>
          <t>&lt;=0</t>
        </is>
      </c>
      <c r="D14" s="34">
        <f>'Cashflow'!D29</f>
        <v/>
      </c>
      <c r="E14" s="22">
        <f>IF('Cashflow'!D29&lt;=0,"PASS","FAIL")</f>
        <v/>
      </c>
      <c r="F14" s="10" t="inlineStr">
        <is>
          <t>Debt payments are cash outflows.</t>
        </is>
      </c>
    </row>
    <row r="16">
      <c r="B16" s="3" t="inlineStr">
        <is>
          <t>C. Tie-Outs</t>
        </is>
      </c>
      <c r="C16" s="4" t="n"/>
      <c r="D16" s="4" t="n"/>
      <c r="E16" s="4" t="n"/>
      <c r="F16" s="4" t="n"/>
    </row>
    <row r="17">
      <c r="B17" s="5" t="inlineStr">
        <is>
          <t>Year 1 NOI ties to EGI + OpEx</t>
        </is>
      </c>
      <c r="C17" s="34">
        <f>ROUND('Cashflow'!D9+'Cashflow'!D12+'Cashflow'!D13+'Cashflow'!D14+'Cashflow'!D17+'Cashflow'!D18+'Cashflow'!D19+'Cashflow'!D20,2)</f>
        <v/>
      </c>
      <c r="D17" s="34">
        <f>ROUND('Cashflow'!D22,2)</f>
        <v/>
      </c>
      <c r="E17" s="22">
        <f>IF(ROUND('Cashflow'!D22,2)=ROUND('Cashflow'!D9+'Cashflow'!D12+'Cashflow'!D13+'Cashflow'!D14+'Cashflow'!D17+'Cashflow'!D18+'Cashflow'!D19+'Cashflow'!D20,2),"PASS","FAIL")</f>
        <v/>
      </c>
      <c r="F17" s="10" t="inlineStr">
        <is>
          <t>Year 1 NOI must equal EGI plus all operating expenses.</t>
        </is>
      </c>
    </row>
    <row r="18">
      <c r="B18" s="5" t="inlineStr">
        <is>
          <t>Year 0 acquisition cash matches inputs</t>
        </is>
      </c>
      <c r="C18" s="34">
        <f>-(purchase_price*down_payment_pct + purchase_price*closing_cost_pct + rehab_cost + IFERROR(-PMT(interest_rate/12,loan_term_yrs*12,purchase_price*(1-down_payment_pct)),0)*holding_months)</f>
        <v/>
      </c>
      <c r="D18" s="34">
        <f>'Cashflow'!C32</f>
        <v/>
      </c>
      <c r="E18" s="22">
        <f>IF(ROUND('Cashflow'!C32,2)=ROUND(-(purchase_price*down_payment_pct+purchase_price*closing_cost_pct+rehab_cost+IFERROR(-PMT(interest_rate/12,loan_term_yrs*12,purchase_price*(1-down_payment_pct)),0)*holding_months),2),"PASS","FAIL")</f>
        <v/>
      </c>
      <c r="F18" s="10" t="inlineStr">
        <is>
          <t>Year 0 outflow should equal down + closing + rehab + holding cost.</t>
        </is>
      </c>
    </row>
    <row r="20">
      <c r="B20" s="3" t="inlineStr">
        <is>
          <t>D. Threshold Sanity</t>
        </is>
      </c>
      <c r="C20" s="4" t="n"/>
      <c r="D20" s="4" t="n"/>
      <c r="E20" s="4" t="n"/>
      <c r="F20" s="4" t="n"/>
    </row>
    <row r="21">
      <c r="B21" s="5" t="inlineStr">
        <is>
          <t>Cap rate threshold is reasonable (3-15%)</t>
        </is>
      </c>
      <c r="C21" s="33" t="inlineStr">
        <is>
          <t>0.03 to 0.15</t>
        </is>
      </c>
      <c r="D21" s="35">
        <f>cap_rate_min</f>
        <v/>
      </c>
      <c r="E21" s="22">
        <f>IF(AND(cap_rate_min&gt;=0.03,cap_rate_min&lt;=0.15),"PASS","WARN")</f>
        <v/>
      </c>
      <c r="F21" s="10" t="inlineStr">
        <is>
          <t>Most SFH investors target 7-10%.</t>
        </is>
      </c>
    </row>
    <row r="22">
      <c r="B22" s="5" t="inlineStr">
        <is>
          <t>DSCR threshold is reasonable (1.0-1.5x)</t>
        </is>
      </c>
      <c r="C22" s="33" t="inlineStr">
        <is>
          <t>1.0 to 1.5</t>
        </is>
      </c>
      <c r="D22" s="36">
        <f>dscr_min</f>
        <v/>
      </c>
      <c r="E22" s="22">
        <f>IF(AND(dscr_min&gt;=1.0,dscr_min&lt;=1.5),"PASS","WARN")</f>
        <v/>
      </c>
      <c r="F22" s="10" t="inlineStr">
        <is>
          <t>Lenders typically require 1.20-1.25x DSCR.</t>
        </is>
      </c>
    </row>
  </sheetData>
  <conditionalFormatting sqref="E1:E22">
    <cfRule type="cellIs" priority="1" operator="equal" dxfId="0">
      <formula>"PASS"</formula>
    </cfRule>
    <cfRule type="cellIs" priority="2" operator="equal" dxfId="1">
      <formula>"WARN"</formula>
    </cfRule>
    <cfRule type="cellIs" priority="3" operator="equal" dxfId="2">
      <formula>"FAIL"</formula>
    </cfRule>
  </conditionalFormatting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&amp;LAudit&amp;CConfidential&amp;RPage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Sean Dillard</dc:creator>
  <dc:title xmlns:dc="http://purl.org/dc/elements/1.1/">Single-Family Home Proforma — Section 8</dc:title>
  <dc:description xmlns:dc="http://purl.org/dc/elements/1.1/">Property analysis underwriting model. Built by Sean Dillard.</dc:description>
  <dcterms:created xmlns:dcterms="http://purl.org/dc/terms/" xmlns:xsi="http://www.w3.org/2001/XMLSchema-instance" xsi:type="dcterms:W3CDTF">2026-05-17T17:15:20Z</dcterms:created>
  <dcterms:modified xmlns:dcterms="http://purl.org/dc/terms/" xmlns:xsi="http://www.w3.org/2001/XMLSchema-instance" xsi:type="dcterms:W3CDTF">2026-05-17T17:15:20Z</dcterms:modified>
  <cp:lastModifiedBy>Sean Dillard</cp:lastModifiedBy>
</cp:coreProperties>
</file>